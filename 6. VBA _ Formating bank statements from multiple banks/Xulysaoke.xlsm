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0. Duong\6. BOD reporting\0. Review entries weekly\2. Ke toan thanh toan\"/>
    </mc:Choice>
  </mc:AlternateContent>
  <xr:revisionPtr revIDLastSave="0" documentId="13_ncr:1_{CED07502-8355-4ED1-9C48-11D65EE67496}" xr6:coauthVersionLast="47" xr6:coauthVersionMax="47" xr10:uidLastSave="{00000000-0000-0000-0000-000000000000}"/>
  <bookViews>
    <workbookView xWindow="-120" yWindow="-120" windowWidth="29040" windowHeight="15720" activeTab="3" xr2:uid="{00000000-000D-0000-FFFF-FFFF00000000}"/>
  </bookViews>
  <sheets>
    <sheet name="Guideline" sheetId="1" r:id="rId1"/>
    <sheet name="Note" sheetId="19" r:id="rId2"/>
    <sheet name="Saoke" sheetId="17" r:id="rId3"/>
    <sheet name="DQ" sheetId="5" r:id="rId4"/>
    <sheet name="NH" sheetId="6" r:id="rId5"/>
  </sheets>
  <definedNames>
    <definedName name="_xlnm._FilterDatabase" localSheetId="3" hidden="1">DQ!$A$1:$T$29</definedName>
    <definedName name="_xlnm._FilterDatabase" localSheetId="4" hidden="1">NH!$A$2:$G$2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30" i="5" l="1"/>
  <c r="D29" i="5"/>
  <c r="D28" i="5"/>
  <c r="D27" i="5"/>
  <c r="D26" i="5"/>
  <c r="D25" i="5"/>
  <c r="D24" i="5"/>
  <c r="D23" i="5"/>
  <c r="D22" i="5"/>
  <c r="D21" i="5"/>
  <c r="D20" i="5"/>
  <c r="D19" i="5"/>
  <c r="D18" i="5"/>
  <c r="D17" i="5"/>
  <c r="D16" i="5"/>
  <c r="D15" i="5"/>
  <c r="D14" i="5"/>
  <c r="D13" i="5"/>
  <c r="D12" i="5"/>
  <c r="D11" i="5"/>
  <c r="D10" i="5"/>
  <c r="D9" i="5"/>
  <c r="D8" i="5"/>
  <c r="D7" i="5"/>
  <c r="D6" i="5"/>
  <c r="D5" i="5"/>
  <c r="D4" i="5"/>
  <c r="D3" i="5"/>
  <c r="D2" i="5"/>
  <c r="E25" i="5"/>
  <c r="E20" i="5"/>
  <c r="E2" i="5"/>
  <c r="G24" i="5" l="1"/>
  <c r="G25" i="5"/>
  <c r="G28" i="5" l="1"/>
  <c r="G3" i="5" l="1"/>
  <c r="G4" i="5"/>
  <c r="G5" i="5"/>
  <c r="G6" i="5"/>
  <c r="G7" i="5"/>
  <c r="G8" i="5"/>
  <c r="G9" i="5"/>
  <c r="G10" i="5"/>
  <c r="G11" i="5"/>
  <c r="G12" i="5"/>
  <c r="G13" i="5"/>
  <c r="G14" i="5"/>
  <c r="G15" i="5"/>
  <c r="G16" i="5"/>
  <c r="G17" i="5"/>
  <c r="G2" i="5"/>
  <c r="L5" i="5" l="1"/>
  <c r="L4" i="5"/>
  <c r="M4" i="5" s="1"/>
  <c r="L3" i="5"/>
  <c r="M3" i="5" s="1"/>
  <c r="L2" i="5"/>
  <c r="L7" i="5"/>
  <c r="L6" i="5"/>
  <c r="L8" i="5" l="1"/>
  <c r="M6" i="5"/>
  <c r="M5" i="5"/>
  <c r="M7" i="5"/>
  <c r="M2" i="5"/>
  <c r="M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Kim An</author>
    <author>Admin</author>
  </authors>
  <commentList>
    <comment ref="D1" authorId="0" shapeId="0" xr:uid="{199A5A95-1C71-4CBF-BE86-1EC8AC257919}">
      <text>
        <r>
          <rPr>
            <b/>
            <sz val="9"/>
            <color indexed="81"/>
            <rFont val="Tahoma"/>
            <family val="2"/>
          </rPr>
          <t>Kim An:</t>
        </r>
        <r>
          <rPr>
            <sz val="9"/>
            <color indexed="81"/>
            <rFont val="Tahoma"/>
            <family val="2"/>
          </rPr>
          <t xml:space="preserve">
Công thức
=SUMIFS(Saoke!$G:$G,Saoke!$I:$I,DQ!$C2,Saoke!$A:$A,"So du cuoi")</t>
        </r>
      </text>
    </comment>
    <comment ref="B18" authorId="1" shapeId="0" xr:uid="{00000000-0006-0000-0200-000001000000}">
      <text>
        <r>
          <rPr>
            <b/>
            <sz val="9"/>
            <color indexed="81"/>
            <rFont val="Tahoma"/>
            <family val="2"/>
          </rPr>
          <t>Admin:</t>
        </r>
        <r>
          <rPr>
            <sz val="9"/>
            <color indexed="81"/>
            <rFont val="Tahoma"/>
            <family val="2"/>
          </rPr>
          <t xml:space="preserve">
Từ đây trở xuống lấy số dư tay </t>
        </r>
      </text>
    </comment>
  </commentList>
</comments>
</file>

<file path=xl/sharedStrings.xml><?xml version="1.0" encoding="utf-8"?>
<sst xmlns="http://schemas.openxmlformats.org/spreadsheetml/2006/main" count="5242" uniqueCount="2191">
  <si>
    <t>Các biến cần khai báo:</t>
  </si>
  <si>
    <t>CÔNG CỤ GHÉP SAO KÊ KA</t>
  </si>
  <si>
    <t>MSB TD</t>
  </si>
  <si>
    <t>VPB KAVN</t>
  </si>
  <si>
    <t>VPB KA</t>
  </si>
  <si>
    <t>MSB</t>
  </si>
  <si>
    <t>SCB</t>
  </si>
  <si>
    <t>VPB</t>
  </si>
  <si>
    <t>Tổng</t>
  </si>
  <si>
    <t>DANH SÁCH HỆ THỐNG TÀI KHOẢN</t>
  </si>
  <si>
    <t>Ngân hàng TMCP Hàng hải Việt Nam</t>
  </si>
  <si>
    <t>Diễn giải</t>
  </si>
  <si>
    <t>Số tài khoản</t>
  </si>
  <si>
    <t>Tên tài khoản</t>
  </si>
  <si>
    <t>111101</t>
  </si>
  <si>
    <t>Tiền mặt khác giải ngân, thu giải ngân</t>
  </si>
  <si>
    <t>111106</t>
  </si>
  <si>
    <t>Tiền mặt</t>
  </si>
  <si>
    <t>111108</t>
  </si>
  <si>
    <t>Tiền mặt tồn chi nhánh</t>
  </si>
  <si>
    <t>112</t>
  </si>
  <si>
    <t>Tiền gửi Ngân hàng</t>
  </si>
  <si>
    <t>1121</t>
  </si>
  <si>
    <t>Tiền Việt Nam</t>
  </si>
  <si>
    <t>MSB KMT 1</t>
  </si>
  <si>
    <t>1121010</t>
  </si>
  <si>
    <t>Tiền gửi Tài khoản MSB 04101010024432</t>
  </si>
  <si>
    <t>04101010024432</t>
  </si>
  <si>
    <t>SCB KMD 1</t>
  </si>
  <si>
    <t>1121011</t>
  </si>
  <si>
    <t>Tiền gửi TK Sacom - 060231146949</t>
  </si>
  <si>
    <t>060231146949</t>
  </si>
  <si>
    <t>Ngân hàng TMCP Sài Gòn Thương tín</t>
  </si>
  <si>
    <t>SCB KMD 2</t>
  </si>
  <si>
    <t>1121012</t>
  </si>
  <si>
    <t>Tiền gửi TK Sacom - 060231154119</t>
  </si>
  <si>
    <t>060231154119</t>
  </si>
  <si>
    <t>SCB KMT 1</t>
  </si>
  <si>
    <t>1121013</t>
  </si>
  <si>
    <t>Tiền gửi TK Sacom - 060231147929</t>
  </si>
  <si>
    <t>060231147929</t>
  </si>
  <si>
    <t>SCB KMT 2</t>
  </si>
  <si>
    <t>1121014</t>
  </si>
  <si>
    <t>Tiền gửi TK Sacom - 060231154313</t>
  </si>
  <si>
    <t>060231154313</t>
  </si>
  <si>
    <t>SCB KSG 1</t>
  </si>
  <si>
    <t>1121015</t>
  </si>
  <si>
    <t>Tiền gửi TK Sacom - 060231147260</t>
  </si>
  <si>
    <t>060231147260</t>
  </si>
  <si>
    <t>SCB KSG 2</t>
  </si>
  <si>
    <t>1121016</t>
  </si>
  <si>
    <t>Tiền gửi TK Sacom - 060231153414</t>
  </si>
  <si>
    <t>060231153414</t>
  </si>
  <si>
    <t>MSB KMD 2</t>
  </si>
  <si>
    <t>1121017</t>
  </si>
  <si>
    <t>Tiền gửi MSB - 04101010025121</t>
  </si>
  <si>
    <t>04101010025121</t>
  </si>
  <si>
    <t>MSB KMT 2</t>
  </si>
  <si>
    <t>1121018</t>
  </si>
  <si>
    <t>Tiền gửi TK MSB - 04101010025103</t>
  </si>
  <si>
    <t>04101010025103</t>
  </si>
  <si>
    <t>MSB KSG 2</t>
  </si>
  <si>
    <t>1121019</t>
  </si>
  <si>
    <t>Tiền gửi MSB - 04101010025112</t>
  </si>
  <si>
    <t>04101010025112</t>
  </si>
  <si>
    <t>MSB KSG 3</t>
  </si>
  <si>
    <t>1121020</t>
  </si>
  <si>
    <t>Tiền gửi TK MSB 04101010025215</t>
  </si>
  <si>
    <t>04101010025215</t>
  </si>
  <si>
    <t>MSB KAVN</t>
  </si>
  <si>
    <t>1121021</t>
  </si>
  <si>
    <t>Tiền gửi MSB - 04101010025073</t>
  </si>
  <si>
    <t>04101010025073</t>
  </si>
  <si>
    <t>MSB TC</t>
  </si>
  <si>
    <t>1121022</t>
  </si>
  <si>
    <t>Tài khoản TC - 04301010053997</t>
  </si>
  <si>
    <t>04301010053997</t>
  </si>
  <si>
    <t>BẢN VIỆT KA</t>
  </si>
  <si>
    <t>1121023</t>
  </si>
  <si>
    <t>Tiền gửi Tài khoản Bản Việt 0697041102747</t>
  </si>
  <si>
    <t>0697041102747</t>
  </si>
  <si>
    <t>MSB 560</t>
  </si>
  <si>
    <t>11211</t>
  </si>
  <si>
    <t>Tiền gửi Tài khoản công ty 894 - 04401010018560</t>
  </si>
  <si>
    <t>04401010018560</t>
  </si>
  <si>
    <t>MSB 464</t>
  </si>
  <si>
    <t>11212</t>
  </si>
  <si>
    <t>Tiền gửi Tài khoản công ty 892 (464)</t>
  </si>
  <si>
    <t>04401010019464</t>
  </si>
  <si>
    <t>OCB KA</t>
  </si>
  <si>
    <t>11213</t>
  </si>
  <si>
    <t>Tiền gửi Tài khoản công ty OCB - 0039100008736008</t>
  </si>
  <si>
    <t>039100008736008</t>
  </si>
  <si>
    <t>ĐÓNG</t>
  </si>
  <si>
    <t>11214</t>
  </si>
  <si>
    <t>Tiền gửi Tài khoản công ty Sacom - 060204368239</t>
  </si>
  <si>
    <t>060204368239</t>
  </si>
  <si>
    <t>VCB KA</t>
  </si>
  <si>
    <t>11215</t>
  </si>
  <si>
    <t>Tiền gửi Tài khoản công ty VCB - 00721000623189</t>
  </si>
  <si>
    <t>721000623189</t>
  </si>
  <si>
    <t>11216</t>
  </si>
  <si>
    <t>Tiền gửi Tài khoản công ty Sacombank - 060220836668</t>
  </si>
  <si>
    <t>060220836668</t>
  </si>
  <si>
    <t>11217</t>
  </si>
  <si>
    <t>Tiền gửi Tài khoản MBB 1111100488008</t>
  </si>
  <si>
    <t>1111100488008</t>
  </si>
  <si>
    <t>MSB KMD 1</t>
  </si>
  <si>
    <t>11218</t>
  </si>
  <si>
    <t xml:space="preserve">Tiền gửi Tài khoản MSB 04101010024928
</t>
  </si>
  <si>
    <t xml:space="preserve">04101010024928
</t>
  </si>
  <si>
    <t>MSB KSG 1</t>
  </si>
  <si>
    <t>11219</t>
  </si>
  <si>
    <t xml:space="preserve">Tiền gửi Tài Khoản MSB 04101010024937
</t>
  </si>
  <si>
    <t xml:space="preserve">04101010024937
</t>
  </si>
  <si>
    <t>1121025</t>
  </si>
  <si>
    <t>221157648</t>
  </si>
  <si>
    <t>Ngân hàng TMCP Việt Nam Thịnh Vượng</t>
  </si>
  <si>
    <t>0410101025756</t>
  </si>
  <si>
    <t>1121024</t>
  </si>
  <si>
    <t>MSB 560.x</t>
  </si>
  <si>
    <t>MSB 464.x</t>
  </si>
  <si>
    <t>MSB KAVN.</t>
  </si>
  <si>
    <t>Vi Mô KMD</t>
  </si>
  <si>
    <t>Vi Mô KMT</t>
  </si>
  <si>
    <t>Vi Mô KSG</t>
  </si>
  <si>
    <t>VIMO</t>
  </si>
  <si>
    <t>Mã ngân hàng</t>
  </si>
  <si>
    <t>VPB KSG</t>
  </si>
  <si>
    <t>PVCB TD</t>
  </si>
  <si>
    <t>PVCB</t>
  </si>
  <si>
    <t>TCB TDKA</t>
  </si>
  <si>
    <t>SCB TDKA</t>
  </si>
  <si>
    <t>TCB</t>
  </si>
  <si>
    <t>STT</t>
  </si>
  <si>
    <t>Số dư 0</t>
  </si>
  <si>
    <t>MSB TDKA</t>
  </si>
  <si>
    <t>THUY TRANG MAKER</t>
  </si>
  <si>
    <t>MAKER.TOANDIEN</t>
  </si>
  <si>
    <t>mk0919906139</t>
  </si>
  <si>
    <t>congtyksg1</t>
  </si>
  <si>
    <t>kimannhap</t>
  </si>
  <si>
    <t>noltk001</t>
  </si>
  <si>
    <t>Note</t>
  </si>
  <si>
    <t>Kim An</t>
  </si>
  <si>
    <t>Kim An Việt Nam</t>
  </si>
  <si>
    <t>KMD</t>
  </si>
  <si>
    <t>KMT</t>
  </si>
  <si>
    <t>KSG</t>
  </si>
  <si>
    <t>TD Kim An</t>
  </si>
  <si>
    <t>Giải pháp Toàn Diện</t>
  </si>
  <si>
    <t>Ngày hiện tại</t>
  </si>
  <si>
    <t>Ngày trước</t>
  </si>
  <si>
    <t>DONE</t>
  </si>
  <si>
    <t>Saoke</t>
  </si>
  <si>
    <t>TCB TDKA.xlsx</t>
  </si>
  <si>
    <t>Ngày / Date</t>
  </si>
  <si>
    <t>Số bút toán/ Txn No</t>
  </si>
  <si>
    <t>Diễn giải / Details</t>
  </si>
  <si>
    <t>Nợ / Debit</t>
  </si>
  <si>
    <t>Có / Credit</t>
  </si>
  <si>
    <t>Số dư /  Bal.</t>
  </si>
  <si>
    <t>TK đích/Desc Acc</t>
  </si>
  <si>
    <t>FT22060523946711\BNK</t>
  </si>
  <si>
    <t>TD Kim An gop von TDVN</t>
  </si>
  <si>
    <t>19038226705013</t>
  </si>
  <si>
    <t>Tra lai so du tren tai khoan - thang 02/2022</t>
  </si>
  <si>
    <t>FT22059441951970\BNK</t>
  </si>
  <si>
    <t>TD Kim An Gop von cho TDVN</t>
  </si>
  <si>
    <t>So du cuoi</t>
  </si>
  <si>
    <t>FT22063490106054</t>
  </si>
  <si>
    <t>Ck Pham Chien 0988xxx093</t>
  </si>
  <si>
    <t>0631000397505</t>
  </si>
  <si>
    <t>TCB DVTDVN.xlsx</t>
  </si>
  <si>
    <t>FT22063720014412</t>
  </si>
  <si>
    <t>Ck Tang Thi Thu Tai 0794xxx039</t>
  </si>
  <si>
    <t>060095753100</t>
  </si>
  <si>
    <t>FT22063107653870\BNK</t>
  </si>
  <si>
    <t>TD Kim An Gop von TDVN</t>
  </si>
  <si>
    <t>FT22062320175828</t>
  </si>
  <si>
    <t>Cong ty TNHH DV Toan Dien VN - 0317150075 - Thanh toan phan mem AMIS</t>
  </si>
  <si>
    <t>55556666</t>
  </si>
  <si>
    <t>FT22062309537409\BNK</t>
  </si>
  <si>
    <t>TD Kim AN gop von TDVN</t>
  </si>
  <si>
    <t>FT22062477690040\BNK</t>
  </si>
  <si>
    <t>Ck Tran Minh Vuong 0937xxx242</t>
  </si>
  <si>
    <t>19029793536010</t>
  </si>
  <si>
    <t>FT22062486285304</t>
  </si>
  <si>
    <t>Ck Le Thanh Trung 0707xxx159</t>
  </si>
  <si>
    <t>0707158159</t>
  </si>
  <si>
    <t>FT22062083293302</t>
  </si>
  <si>
    <t>Ck Pham Van Manh 0937xxx167</t>
  </si>
  <si>
    <t>0911000036655</t>
  </si>
  <si>
    <t>FT22062575299086\BNK</t>
  </si>
  <si>
    <t>FT22061529819086</t>
  </si>
  <si>
    <t>Ck Nguyen Truong An 0386xxx678</t>
  </si>
  <si>
    <t>060191150931</t>
  </si>
  <si>
    <t>FT22061340314314</t>
  </si>
  <si>
    <t>0251002781026</t>
  </si>
  <si>
    <t>FT22060511997693</t>
  </si>
  <si>
    <t>Ck Tran Van Hau 0938xxx780</t>
  </si>
  <si>
    <t>24020567</t>
  </si>
  <si>
    <t>FT22060099773960</t>
  </si>
  <si>
    <t>Ck Ha Kim Dung 0936xxx866</t>
  </si>
  <si>
    <t>060003042580</t>
  </si>
  <si>
    <t>FT22060505466005</t>
  </si>
  <si>
    <t>Ck Nguyen Thi Thuy Huong 0946xxx623</t>
  </si>
  <si>
    <t>147452257</t>
  </si>
  <si>
    <t>FT22060348204846</t>
  </si>
  <si>
    <t>0022103368686868</t>
  </si>
  <si>
    <t>FT22060141982301</t>
  </si>
  <si>
    <t>Ck Nguyen Thi Ngoc Thao 0934xxx182</t>
  </si>
  <si>
    <t>93586425</t>
  </si>
  <si>
    <t>19038226705013-20220228</t>
  </si>
  <si>
    <t>FT22059206836506\BNK</t>
  </si>
  <si>
    <t>Ck Nguyen Thi Thu Trang - 0906xxx451</t>
  </si>
  <si>
    <t>19037194463016</t>
  </si>
  <si>
    <t>FT22059002143070</t>
  </si>
  <si>
    <t>Ck Nguyen Thien Phu 0794xxx138</t>
  </si>
  <si>
    <t>060243944727</t>
  </si>
  <si>
    <t>FT22059582551601</t>
  </si>
  <si>
    <t>13111157</t>
  </si>
  <si>
    <t>FT22057517940053</t>
  </si>
  <si>
    <t>CT TRAN THI TUYET HANH 289806 26/02</t>
  </si>
  <si>
    <t>0110298735</t>
  </si>
  <si>
    <t>FT22057859754644</t>
  </si>
  <si>
    <t>CT NGUYEN THI HANG 291015 26/02</t>
  </si>
  <si>
    <t>0560230198888</t>
  </si>
  <si>
    <t>FT22057517940720</t>
  </si>
  <si>
    <t>NGUYEN THI HANG 291015 Thanh toan tien may POS 26/02</t>
  </si>
  <si>
    <t>0491000064309</t>
  </si>
  <si>
    <t>FT22056823152479\BNK</t>
  </si>
  <si>
    <t>Cty TD Kim An gop von cho TOAN DIEN VN</t>
  </si>
  <si>
    <t>FT22054054874088</t>
  </si>
  <si>
    <t>CT VO THANH TRUC 288630 23/02</t>
  </si>
  <si>
    <t>6501205146434</t>
  </si>
  <si>
    <t>FT22054680275923</t>
  </si>
  <si>
    <t>CT NGUYEN THI KIM NGOC 288495 23/02</t>
  </si>
  <si>
    <t>14001012955497</t>
  </si>
  <si>
    <t>FT22054039030527\BNK</t>
  </si>
  <si>
    <t>TD Kim An gop von cho Toan Dien VN</t>
  </si>
  <si>
    <t>Ngày/Date</t>
  </si>
  <si>
    <t>Số TT/Seq No/Number/Seq No</t>
  </si>
  <si>
    <t>Mô tả/Description</t>
  </si>
  <si>
    <t>Ghi nợ/Debit</t>
  </si>
  <si>
    <t>Ghi có/Credit</t>
  </si>
  <si>
    <t>Số dư/Balance</t>
  </si>
  <si>
    <t>Ng.hưởng/chuyển
Ben/Rollout name</t>
  </si>
  <si>
    <t>28/02/2022 15:53</t>
  </si>
  <si>
    <t>EBANKING23/836328558</t>
  </si>
  <si>
    <t>Tfr A/c: 4401010018560                  KA CK TD</t>
  </si>
  <si>
    <t>CTY CP TU VAN DAU TU KIM AN</t>
  </si>
  <si>
    <t>MSB TD.xlsx</t>
  </si>
  <si>
    <t>28/02/2022 16:12</t>
  </si>
  <si>
    <t>EBANKING01/811586822</t>
  </si>
  <si>
    <t>Tfr A/c: 4301010058947                  TD cho vay TDKA</t>
  </si>
  <si>
    <t xml:space="preserve">CONG TY TNHH TD KIM AN                  </t>
  </si>
  <si>
    <t>28/02/2022 23:59</t>
  </si>
  <si>
    <t>DD4400/11407</t>
  </si>
  <si>
    <t>Tra lai TK KKH</t>
  </si>
  <si>
    <t>28/02/2022 14:43</t>
  </si>
  <si>
    <t>IBSML247/8234923</t>
  </si>
  <si>
    <t>Tfr A/c: 189802002                      -104568-CK NB</t>
  </si>
  <si>
    <t>MSB TDKA.xlsx</t>
  </si>
  <si>
    <t>IBSML247/8234910</t>
  </si>
  <si>
    <t>Tfr A/c: 189802002                      -104616-CK NB</t>
  </si>
  <si>
    <t>Tfr A/c: 4101010025756                  TD cho vay TDKA</t>
  </si>
  <si>
    <t xml:space="preserve">CTY CP GPTC TOAN DIEN                   </t>
  </si>
  <si>
    <t>28/02/2022 16:13</t>
  </si>
  <si>
    <t>IBDN247/955842</t>
  </si>
  <si>
    <t>Tfr A/c: 280802016                      -125969-CK 24/7 cho 746479999. chuyen khoan</t>
  </si>
  <si>
    <t>CONG TY TNHH TD KIM AN</t>
  </si>
  <si>
    <t>28/02/2022 16:17</t>
  </si>
  <si>
    <t>IBDN247/956673</t>
  </si>
  <si>
    <t>Tfr A/c: 280802016                      -127742-CK 24/7 cho 0851000029666. NAP BG MC221044</t>
  </si>
  <si>
    <t>CT CP CONG NGHE VI MO</t>
  </si>
  <si>
    <t>IBDN247/956686</t>
  </si>
  <si>
    <t>Tfr A/c: 280802016                      -127783-CK 24/7 cho 0851000029666. NAP BG MC221044</t>
  </si>
  <si>
    <t>28/02/2022 19:20</t>
  </si>
  <si>
    <t>IBSML247/8277494</t>
  </si>
  <si>
    <t>Tfr A/c: 189802002                      -720190-CK NB</t>
  </si>
  <si>
    <t>28/02/2022 19:21</t>
  </si>
  <si>
    <t>EBANKING04/618630266</t>
  </si>
  <si>
    <t>(CKRmNo: 043622022890058)KIM AN chuyen tien vay 28.02.2022</t>
  </si>
  <si>
    <t>CT TC TNHH MTV MIRAE ASSET (VN)</t>
  </si>
  <si>
    <t>DD4400/4372</t>
  </si>
  <si>
    <t>Ngày hiệu lực</t>
  </si>
  <si>
    <t>Số giao dịch</t>
  </si>
  <si>
    <t>Nội dung</t>
  </si>
  <si>
    <t>Số tiền rút</t>
  </si>
  <si>
    <t>Số tiền gửi</t>
  </si>
  <si>
    <t>Số dư hiện tại</t>
  </si>
  <si>
    <t>1</t>
  </si>
  <si>
    <t>28-02-2022</t>
  </si>
  <si>
    <t>FT22059MP2DM</t>
  </si>
  <si>
    <t>TRANSFER 286412 LE VAN MINH CKN 066026</t>
  </si>
  <si>
    <t>SCB KMD 2.xls</t>
  </si>
  <si>
    <t>2</t>
  </si>
  <si>
    <t>FT22059DBD5X</t>
  </si>
  <si>
    <t>NGUYEN THI MINH TAM CTYTNHHKMD CKN 947391</t>
  </si>
  <si>
    <t>3</t>
  </si>
  <si>
    <t>FT22059DMDKH</t>
  </si>
  <si>
    <t>NGUYEN HUU TRUNG MBVCB.1784375320.066789.280133 Nguyen Huu Trung 241907970.CT tu 0231000572963 NGUYEN HUU TRUNG toi 060231154119 CONG TY TNHH MTV KMD SACOMBANK Sai Gon thuong tin CKN 066789</t>
  </si>
  <si>
    <t>4</t>
  </si>
  <si>
    <t>FT22059VHKQH</t>
  </si>
  <si>
    <t>CK NB</t>
  </si>
  <si>
    <t>5</t>
  </si>
  <si>
    <t>FEE.C220225060231154119</t>
  </si>
  <si>
    <t>PHI T02/2022-060231154119-QLTK</t>
  </si>
  <si>
    <t>6</t>
  </si>
  <si>
    <t>FT22059NLVLP</t>
  </si>
  <si>
    <t>MBBANK IBFT 287693 ngo thi my oanh 0989919943 CKN 052225</t>
  </si>
  <si>
    <t>060231154119-20220228</t>
  </si>
  <si>
    <t>CHI LAI TK TIEN GUI 060231154119</t>
  </si>
  <si>
    <t>939</t>
  </si>
  <si>
    <t>C:\0. Duong\6. BOD reporting\0. Review entries weekly\2. Ke toan thanh toan\Sao ke 28.02.22 - testing\</t>
  </si>
  <si>
    <t>28/02/2022 14:49</t>
  </si>
  <si>
    <t>EBANKING02/718517702</t>
  </si>
  <si>
    <t>Tfr A/c: 4101010024432                  KMT CK KA</t>
  </si>
  <si>
    <t xml:space="preserve">CTY TNHH MTV KMT                        </t>
  </si>
  <si>
    <t>MSB 464.xlsx</t>
  </si>
  <si>
    <t>28/02/2022 14:59</t>
  </si>
  <si>
    <t>EBANKING22/711749078</t>
  </si>
  <si>
    <t>Tfr A/c: 4401010018560                  CK NB</t>
  </si>
  <si>
    <t>DD4400/5218</t>
  </si>
  <si>
    <t>28/02/2022 10:08</t>
  </si>
  <si>
    <t>EBANKING22/449442316</t>
  </si>
  <si>
    <t>(RM:011822022882519)PAYMENT FOR SAAS FEES, INV NO:
01/008534</t>
  </si>
  <si>
    <t>PARETIX (PARETO) LTD</t>
  </si>
  <si>
    <t>MSB 560.xlsx</t>
  </si>
  <si>
    <t>28/02/2022 14:53</t>
  </si>
  <si>
    <t>EBANKING01/813372046</t>
  </si>
  <si>
    <t>Tfr A/c: 4101010024937                  KSG CK KA</t>
  </si>
  <si>
    <t xml:space="preserve">CTY TNHH MTV KSG                        </t>
  </si>
  <si>
    <t>Tfr A/c: 4401010019464                  CK NB</t>
  </si>
  <si>
    <t xml:space="preserve">CTY CP TU VAN DAU TU KIM AN             </t>
  </si>
  <si>
    <t>28/02/2022 15:06</t>
  </si>
  <si>
    <t>EBANKING04/547426761</t>
  </si>
  <si>
    <t>Tfr A/c: 4101010024928                  KMD CK KA</t>
  </si>
  <si>
    <t xml:space="preserve">CONG TY TNHH MTV KMD                    </t>
  </si>
  <si>
    <t>Tfr A/c: 4101010025756                  KA CK TD</t>
  </si>
  <si>
    <t>28/02/2022 17:32</t>
  </si>
  <si>
    <t>EBANKING09/142074899</t>
  </si>
  <si>
    <t>(CKRmNo: 044622022889681)CT Luong Ky 1 T2/2022</t>
  </si>
  <si>
    <t>Pham Thi Thu Trang</t>
  </si>
  <si>
    <t>EBANKING08/142074900</t>
  </si>
  <si>
    <t>Tfr A/c: 4301010686489                  CT Luong Ky 1 T2/2022</t>
  </si>
  <si>
    <t xml:space="preserve">NGUYEN HOANG LE THANH VY                </t>
  </si>
  <si>
    <t>EBANKING01/142075903</t>
  </si>
  <si>
    <t>Tfr A/c: 4301010713125                  CT Luong Ky 1 T2/2022</t>
  </si>
  <si>
    <t xml:space="preserve">LE TRONG NGHIA                          </t>
  </si>
  <si>
    <t>EBANKING05/142075902</t>
  </si>
  <si>
    <t>Tfr A/c: 4301010713189                  CT Luong Ky 1 T2/2022</t>
  </si>
  <si>
    <t xml:space="preserve">LE THI MINH THANH                       </t>
  </si>
  <si>
    <t>EBANKING07/142075904</t>
  </si>
  <si>
    <t>Tfr A/c: 4001016858168                  CT Luong Ky 1 T2/2022</t>
  </si>
  <si>
    <t xml:space="preserve">PHAN QUOC NGHI                          </t>
  </si>
  <si>
    <t>28/02/2022 17:33</t>
  </si>
  <si>
    <t>EBANKING01/142074901</t>
  </si>
  <si>
    <t>Tfr A/c: 4301010789979                  CT Luong Ky 1 T2/2022</t>
  </si>
  <si>
    <t xml:space="preserve">TRAN THI THU THAO                       </t>
  </si>
  <si>
    <t>EBANKING04/142075906</t>
  </si>
  <si>
    <t>Tfr A/c: 4301010746927                  CT Luong Ky 1 T2/2022</t>
  </si>
  <si>
    <t xml:space="preserve">TRAN NGOC THANH                         </t>
  </si>
  <si>
    <t>EBANKING02/142075907</t>
  </si>
  <si>
    <t>(CKRmNo: 044622022889682)CT Luong Ky 1 T2/2022</t>
  </si>
  <si>
    <t>NGUYEN MANH DUONG</t>
  </si>
  <si>
    <t>EBANKING22/142075909</t>
  </si>
  <si>
    <t>(CKRmNo: 044622022889683)CT Luong Ky 1 T2/2022</t>
  </si>
  <si>
    <t>DANG QUANG HUNG</t>
  </si>
  <si>
    <t>EBANKING09/142075905</t>
  </si>
  <si>
    <t>Tfr A/c: 4001016860367                  CT Luong Ky 1 T2/2022</t>
  </si>
  <si>
    <t xml:space="preserve">VO CAO QUYNH                            </t>
  </si>
  <si>
    <t>EBANKING23/142075908</t>
  </si>
  <si>
    <t>Tfr A/c: 4301010746945                  CT Luong Ky 1 T2/2022</t>
  </si>
  <si>
    <t xml:space="preserve">VO DANG THI QUE HUONG                   </t>
  </si>
  <si>
    <t>EBANKING01/142075911</t>
  </si>
  <si>
    <t>(CKRmNo: 044622022889687)CT Luong Ky 1 T2/2022</t>
  </si>
  <si>
    <t>NGUYEN THI ANH THU</t>
  </si>
  <si>
    <t>EBANKING21/142075913</t>
  </si>
  <si>
    <t>(CKRmNo: 044622022889688)CT Luong Ky 1 T2/2022</t>
  </si>
  <si>
    <t>HUYNH THI XUAN HONG</t>
  </si>
  <si>
    <t>EBANKING21/142075910</t>
  </si>
  <si>
    <t>(CKRmNo: 044622022889686)CT Luong Ky 1 T2/2022</t>
  </si>
  <si>
    <t>NGUYEN TRUNG HIEU</t>
  </si>
  <si>
    <t>EBANKING09/142075912</t>
  </si>
  <si>
    <t>Tfr A/c: 4301010746918                  CT Luong Ky 1 T2/2022</t>
  </si>
  <si>
    <t xml:space="preserve">LE HUU LOI                              </t>
  </si>
  <si>
    <t>DD4400/147</t>
  </si>
  <si>
    <t>28/02/2022 13:54</t>
  </si>
  <si>
    <t>IBSML247/8227809</t>
  </si>
  <si>
    <t>Tfr A/c: 189802002                      -988008-CK NB</t>
  </si>
  <si>
    <t>MSB KMD 1.xlsx</t>
  </si>
  <si>
    <t>28/02/2022 14:47</t>
  </si>
  <si>
    <t>EBANKING01/739951508</t>
  </si>
  <si>
    <t>Tfr A/c: 4101010025121                  CK NB</t>
  </si>
  <si>
    <t>Tfr A/c: 4401010018560                  KMD CK KA</t>
  </si>
  <si>
    <t>28/02/2022 17:06</t>
  </si>
  <si>
    <t>EBANKING09/325736572</t>
  </si>
  <si>
    <t>(CKRmNo: 041622022889575)CT Luong Ky 1 T2/2022</t>
  </si>
  <si>
    <t>PHAM TRAN VAN ANH TU</t>
  </si>
  <si>
    <t>DD4400/5265</t>
  </si>
  <si>
    <t>28/02/2022 11:45</t>
  </si>
  <si>
    <t>IBSML247/8214252</t>
  </si>
  <si>
    <t>Tfr A/c: 189802002                      -832524-THANH TOAN NO KIM AN HD239887-280222-114554 832524</t>
  </si>
  <si>
    <t>MSB KMD 2.xlsx</t>
  </si>
  <si>
    <t>Tfr A/c: 4101010024928                  CK NB</t>
  </si>
  <si>
    <t>28/02/2022 19:15</t>
  </si>
  <si>
    <t>IBSML247/8276992</t>
  </si>
  <si>
    <t>Tfr A/c: 189802002                      -790171-DOAN THI HANH chuyen khoan</t>
  </si>
  <si>
    <t>DD4400/8929</t>
  </si>
  <si>
    <t>28/02/2022 13:57</t>
  </si>
  <si>
    <t>IBSML247/8228189</t>
  </si>
  <si>
    <t>Tfr A/c: 189802002                      -993922-CK NB</t>
  </si>
  <si>
    <t>MSB KMT 1.xlsx</t>
  </si>
  <si>
    <t>28/02/2022 14:48</t>
  </si>
  <si>
    <t>EBANKING23/931631614</t>
  </si>
  <si>
    <t>Tfr A/c: 4101010025103                  CK NB</t>
  </si>
  <si>
    <t>Tfr A/c: 4401010019464                  KMT CK KA</t>
  </si>
  <si>
    <t>DD4400/63</t>
  </si>
  <si>
    <t>28/02/2022 10:30</t>
  </si>
  <si>
    <t>IBSML247/8204180</t>
  </si>
  <si>
    <t>Tfr A/c: 189802002                      -449607-NGUYEN VU SON 273480ct</t>
  </si>
  <si>
    <t>MSB KMT 2.xlsx</t>
  </si>
  <si>
    <t>Tfr A/c: 4101010024432                  CK NB</t>
  </si>
  <si>
    <t>DD4400/8925</t>
  </si>
  <si>
    <t>28/02/2022 08:53</t>
  </si>
  <si>
    <t>IBSML247/8189844</t>
  </si>
  <si>
    <t>Tfr A/c: 189802002                      -030416-TRAN MINH VUONG HU FT22059273441436</t>
  </si>
  <si>
    <t>MSB KSG 1.xlsx</t>
  </si>
  <si>
    <t>28/02/2022 12:40</t>
  </si>
  <si>
    <t>IBSML247/8219785</t>
  </si>
  <si>
    <t>Tfr A/c: 189802002                      -983521-VIETTEL 400300 LIENNH 220228   220228034656703 400201 NGUYEN TRUONG AN HU</t>
  </si>
  <si>
    <t>28/02/2022 13:47</t>
  </si>
  <si>
    <t>IBSML247/8226897</t>
  </si>
  <si>
    <t>Tfr A/c: 189802002                      -958090-ppt tt ksg</t>
  </si>
  <si>
    <t>28/02/2022 14:02</t>
  </si>
  <si>
    <t>IBSML247/8228835</t>
  </si>
  <si>
    <t>Tfr A/c: 189802002                      -002832-CK NB</t>
  </si>
  <si>
    <t>28/02/2022 14:45</t>
  </si>
  <si>
    <t>TAXONLINE/5314628</t>
  </si>
  <si>
    <t>(CKRmNo: 041422022898089)KB:0114-KBNN Quan 5   TP Ho Chi Minh+NgayNT:28022022+MST:0315768236+DBHC:774HH+TKNS:7111+CQT:1056289+LThue:01(C:755-TM:2863-KT:00/CN/2022-ST:2000000-GChu:thue mon bai 2022)</t>
  </si>
  <si>
    <t>Chi cuc thue Quan 5</t>
  </si>
  <si>
    <t>28/02/2022 14:51</t>
  </si>
  <si>
    <t>EBANKING05/110525629</t>
  </si>
  <si>
    <t>Tfr A/c: 4101010025215                  CK NB</t>
  </si>
  <si>
    <t>28/02/2022 14:52</t>
  </si>
  <si>
    <t>EBANKING09/212184556</t>
  </si>
  <si>
    <t>Tfr A/c: 4101010025112                  CK NB</t>
  </si>
  <si>
    <t>Tfr A/c: 4401010018560                  KSG CK KA</t>
  </si>
  <si>
    <t>28/02/2022 15:51</t>
  </si>
  <si>
    <t>EBANKING22/56491370</t>
  </si>
  <si>
    <t>Tfr A/c: 4301010686470                  Nguyen Thi Kim Cuc HU</t>
  </si>
  <si>
    <t xml:space="preserve">TRAN MINH HOANG                         </t>
  </si>
  <si>
    <t>28/02/2022 16:10</t>
  </si>
  <si>
    <t>IBSML247/8249507</t>
  </si>
  <si>
    <t>Tfr A/c: 189802002                      -084566-MBVCB.1785368481.084566.LE THI THU HIEN HU.CT tu 0371000428183 LE THI THU HIEN toi 04101010024937 CTY TNHH MTV KSG (MSB - MARITIME BANK) Hang Hai</t>
  </si>
  <si>
    <t>28/02/2022 16:50</t>
  </si>
  <si>
    <t>IBSML247/8256609</t>
  </si>
  <si>
    <t>Tfr A/c: 189802002                      -058494-IBVCB.1785533266.058494.PHAM VAN MANH chuyen khoan.CT tu 0441000741255 PHAM VAN MANH toi 04101010024937 CTY TNHH MTV KSG (MSB - MARITIME BANK) Hang Hai</t>
  </si>
  <si>
    <t>28/02/2022 18:03</t>
  </si>
  <si>
    <t>IBSML247/8267924</t>
  </si>
  <si>
    <t>Tfr A/c: 189802002                      -085509-MBVCB.1785808920.085509.LUU TRIEN HAO HU.CT tu 1014515284 LUU TRIEN HAO toi 04101010024937 CTY TNHH MTV KSG (MSB - MARITIME BANK) Hang Hai</t>
  </si>
  <si>
    <t>28/02/2022 19:59</t>
  </si>
  <si>
    <t>IBSML247/8282066</t>
  </si>
  <si>
    <t>Tfr A/c: 189802002                      -900842-PHAN MINH HIEP HU</t>
  </si>
  <si>
    <t>28/02/2022 20:01</t>
  </si>
  <si>
    <t>IBSML247/8282366</t>
  </si>
  <si>
    <t>Tfr A/c: 189802002                      -875197-Ha Kim Dung HU FT22059307740382</t>
  </si>
  <si>
    <t>DD4400/5267</t>
  </si>
  <si>
    <t>01/03/2022 08:48</t>
  </si>
  <si>
    <t>IBSML247/8309648</t>
  </si>
  <si>
    <t>Tfr A/c: 189802002                      -656358-pham thi thuy trang HU</t>
  </si>
  <si>
    <t>28/02/2022 10:20</t>
  </si>
  <si>
    <t>IBSML247/8202577</t>
  </si>
  <si>
    <t>Tfr A/c: 189802002                      -227700-291039 ngo minh quoc FT22059847290201</t>
  </si>
  <si>
    <t>MSB KSG 2.xlsx</t>
  </si>
  <si>
    <t>Tfr A/c: 4101010024937                  CK NB</t>
  </si>
  <si>
    <t>28/02/2022 15:21</t>
  </si>
  <si>
    <t>DD080511/32</t>
  </si>
  <si>
    <t>287935 PHAM THI THU NGA 0793801404</t>
  </si>
  <si>
    <t>DD4400/8927</t>
  </si>
  <si>
    <t>28/02/2022 11:33</t>
  </si>
  <si>
    <t>IBSML247/8212384</t>
  </si>
  <si>
    <t>Tfr A/c: 189802002                      -762051-THANH TOAN CHO SO HD 139127 THAI THUY THUY LINH</t>
  </si>
  <si>
    <t>MSB KSG 3.xlsx</t>
  </si>
  <si>
    <t>28/02/2022 15:37</t>
  </si>
  <si>
    <t>IBSML247/8243703</t>
  </si>
  <si>
    <t>Tfr A/c: 189802002                      -523192-VIETTEL 400300 LIENNH 220228   220228034914057 400201 TTHD 88883 NGUYEN THI DIEU HOA 0976504508</t>
  </si>
  <si>
    <t>DD4400/9640</t>
  </si>
  <si>
    <t>FT22059MYVRT</t>
  </si>
  <si>
    <t>SCB KMT 1.xls</t>
  </si>
  <si>
    <t>FT22059MBKLQ</t>
  </si>
  <si>
    <t>CK NB CKN 993922</t>
  </si>
  <si>
    <t>PHI IB - CK NHANH NAPAS NHAN TK</t>
  </si>
  <si>
    <t>060231147929-20220228</t>
  </si>
  <si>
    <t>CHI LAI TK TIEN GUI 060231147929</t>
  </si>
  <si>
    <t>23</t>
  </si>
  <si>
    <t>FT22059NBXMF</t>
  </si>
  <si>
    <t>MBBANK IBFT VIETTEL 400300 LIENNH 220227  220227033546100 400201 0948343969 DANH THI HANH CKN 403522</t>
  </si>
  <si>
    <t>SCB KMT 2.xls</t>
  </si>
  <si>
    <t>TT220598Q27C\CT9</t>
  </si>
  <si>
    <t>285199 PHAM THI HUE LINH</t>
  </si>
  <si>
    <t>060231154313-20220228</t>
  </si>
  <si>
    <t>CHI LAI TK TIEN GUI 060231154313</t>
  </si>
  <si>
    <t>744</t>
  </si>
  <si>
    <t>FT22059TL844</t>
  </si>
  <si>
    <t>SCB KSG 1.xls</t>
  </si>
  <si>
    <t>FT220592Y7TL</t>
  </si>
  <si>
    <t>CK NB CKN 002832</t>
  </si>
  <si>
    <t>060231147260-20220228</t>
  </si>
  <si>
    <t>CHI LAI TK TIEN GUI 060231147260</t>
  </si>
  <si>
    <t>FT22059VJK8K</t>
  </si>
  <si>
    <t>NGO NHAT Y MBVCB.1783001934.098438.NGO NHAT Y chuyen tien.CT tu 0071001078188 NGO NHAT Y toi 060231153414 CONG TY TNHH MTV KSG SACOMBANK Sai Gon thuong tin CKN 098438</t>
  </si>
  <si>
    <t>SCB KSG 2.xls</t>
  </si>
  <si>
    <t>FT22059L77S8</t>
  </si>
  <si>
    <t>KIEU VAN TUAN 280745 kieu van tuan FT22059028053146 CKN 287441</t>
  </si>
  <si>
    <t>FT220591W65X</t>
  </si>
  <si>
    <t>TRINH VAN HANH Trinh van hanh 281420 FT22059008056112 CKN 331924</t>
  </si>
  <si>
    <t>FT220591GRB2\BTN</t>
  </si>
  <si>
    <t>EWX177519210 pham tan co 261127293 0941567739</t>
  </si>
  <si>
    <t>FT22059WB9F1</t>
  </si>
  <si>
    <t>CAO THI PHUONG MAI 289484 thai thuy linh FT22059412690976 CKN 396226</t>
  </si>
  <si>
    <t>FT22059YMVBZ</t>
  </si>
  <si>
    <t>AGRIBANK STB;060231153414;288990 LE THI THUY PHUONG 0962302039 CKN 385710</t>
  </si>
  <si>
    <t>7</t>
  </si>
  <si>
    <t>8</t>
  </si>
  <si>
    <t>FT2205944PRG\TBC</t>
  </si>
  <si>
    <t>280263 dinhthibay 212302654</t>
  </si>
  <si>
    <t>9</t>
  </si>
  <si>
    <t>FEE.C220225060231153414</t>
  </si>
  <si>
    <t>PHI T02/2022-060231153414-QLTK</t>
  </si>
  <si>
    <t>10</t>
  </si>
  <si>
    <t>FT220593DMC1</t>
  </si>
  <si>
    <t>NGUYEN THI NGUYET CHAU CO CHAU TT XONG NHE-280222-14:08:59 889488 CKN 889488</t>
  </si>
  <si>
    <t>11</t>
  </si>
  <si>
    <t>FT22059Z6CHJ</t>
  </si>
  <si>
    <t>ROAN THI VINH CHUYEN TIEN DEN SO TAI KHOAN 060231153414 - CONG TY TNHH MTV KSG FT22059032307067 CKN 628414</t>
  </si>
  <si>
    <t>12</t>
  </si>
  <si>
    <t>060231153414-20220228</t>
  </si>
  <si>
    <t>CHI LAI TK TIEN GUI 060231153414</t>
  </si>
  <si>
    <t>01-03-2022</t>
  </si>
  <si>
    <t>FT22060PC05Y</t>
  </si>
  <si>
    <t>VND-TGTT-NGUYEN QUOC BAO 285237 nguyen quoc bao FT22060487440869 CKN 021932</t>
  </si>
  <si>
    <t>FT220597V2DY</t>
  </si>
  <si>
    <t>DOAN MINH THU Chuyen tien CKN 866899</t>
  </si>
  <si>
    <t>SCB TDKA.xls</t>
  </si>
  <si>
    <t>FT220596MW1L</t>
  </si>
  <si>
    <t>PHAM THI HONG MAI 289802 PHAM THI HONG MAI-260222-22:02:59 400886 CKN 400886</t>
  </si>
  <si>
    <t>FT22059YXC78</t>
  </si>
  <si>
    <t>VND-TGTT-LE THI DIEU HUYEN 290357 le Thi Dieu Huyen FT22059543569304 CKN 344578</t>
  </si>
  <si>
    <t>FT22059SX6FD</t>
  </si>
  <si>
    <t>HUYNH VAN CHON huynh le minh truyen CKN 293780</t>
  </si>
  <si>
    <t>FT22059MWMB0</t>
  </si>
  <si>
    <t>LE HOANG PHUC 283022 LE HOANG PHUC-270222-00:59:19 426818 CKN 426818</t>
  </si>
  <si>
    <t>FT22059V9PJH</t>
  </si>
  <si>
    <t>MAI NGUYEN YEN CHINH MBVCB.1781442862.011250.MAI NGUYEN YEN CHINH chuyen tien ngay 25,26,27 2.CT tu 0281000366847 MAI NGUYEN YEN CHINH toi 060278564188 CONG TY TNHH TD KIM AN SACOMBANK Sai Gon thuong tin CKN 011250</t>
  </si>
  <si>
    <t>FT22059BSX10</t>
  </si>
  <si>
    <t>HUYNH THI THANH 289270 HUYNH THI THANH-270222-08:18:12 461395 CKN 461395</t>
  </si>
  <si>
    <t>FT220595457R</t>
  </si>
  <si>
    <t>KHA NHAT AI MBVCB.1781681458.005404.Phuong goi.CT tu 0251002758220 KHA NHAT AI toi 060278564188 CONG TY TNHH TD KIM AN SACOMBANK Sai Gon thuong tin CKN 005404</t>
  </si>
  <si>
    <t>FT22059N1XV4</t>
  </si>
  <si>
    <t>SON VAN THANH MBVCB.1781838105.074741.290697 Son Van Thanh.CT tu 0251002757656 SON VAN THANH toi 060278564188 CONG TY TNHH TD KIM AN SACOMBANK Sai Gon thuong tin CKN 074741</t>
  </si>
  <si>
    <t>FT220599T4MF\BTE</t>
  </si>
  <si>
    <t>EWX177042100 NGUYEN THI THANH TUYEN 279159</t>
  </si>
  <si>
    <t>FT22059QKH1V\CLG</t>
  </si>
  <si>
    <t>EWX177049552 289383 dang thi anh hiep</t>
  </si>
  <si>
    <t>FT22059LSV8V\TDB</t>
  </si>
  <si>
    <t>nguyenthidiemtrinh290413</t>
  </si>
  <si>
    <t>13</t>
  </si>
  <si>
    <t>FT22059KQWS9</t>
  </si>
  <si>
    <t>AGRIBANK STB;060278564188;NGUYEN THI KHUONG chuyen khoan CKN 322083</t>
  </si>
  <si>
    <t>14</t>
  </si>
  <si>
    <t>FT220590VCMZ\TDB</t>
  </si>
  <si>
    <t>15</t>
  </si>
  <si>
    <t>FT2205951DXB</t>
  </si>
  <si>
    <t>MBBANK IBFT 287653 nguyen huu tai 0919751511 CKN 583498</t>
  </si>
  <si>
    <t>16</t>
  </si>
  <si>
    <t>FT220593RFZD</t>
  </si>
  <si>
    <t>LUU PHUOC TIEU DUNG MBVCB.1782265004.065810.thanh toan cho 250310 trinh thi canh.CT tu 0601000523508 LUU PHUOC TIEU DUNG toi 060278564188 CONG TY TNHH TD KIM AN SACOMBANK Sai Gon thuong tin CKN 065810</t>
  </si>
  <si>
    <t>17</t>
  </si>
  <si>
    <t>FT22059GJKKD</t>
  </si>
  <si>
    <t>MBBANK IBFT 289697 Pham Van Ho 0776195149 CKN 988672</t>
  </si>
  <si>
    <t>18</t>
  </si>
  <si>
    <t>FT2205903140</t>
  </si>
  <si>
    <t>MBBANK IBFT VIETTEL 400300 LIENNH 220227  220227033808571 400201 nguyen thi viet 0336427945 hd 289538 CKN 125607</t>
  </si>
  <si>
    <t>19</t>
  </si>
  <si>
    <t>FT22059NQKC2\HM7</t>
  </si>
  <si>
    <t>NGUYEN THI NGOC TUYEN DONG TIEN</t>
  </si>
  <si>
    <t>20</t>
  </si>
  <si>
    <t>FT220594DCDF</t>
  </si>
  <si>
    <t>MBBANK IBFT CHI THUY chuyen khoan CKN 142178</t>
  </si>
  <si>
    <t>21</t>
  </si>
  <si>
    <t>FT22059LN5CZ\SC4</t>
  </si>
  <si>
    <t>EWX177152820 288005 Do huu Loi</t>
  </si>
  <si>
    <t>22</t>
  </si>
  <si>
    <t>FT22059C9GBJ</t>
  </si>
  <si>
    <t>LE THI NGOC TRAN 289376 Nguyen Ngoc Ha CKN 841413</t>
  </si>
  <si>
    <t>FT22059PWH5Y</t>
  </si>
  <si>
    <t>NGUYEN THI NGOC THU MBVCB.1782637166.033659.262884 - phan thi tu .CT tu 0061001019434 NGUYEN THI NGOC THU toi 060278564188 CONG TY TNHH TD KIM AN SACOMBANK Sai Gon thuong tin CKN 033659</t>
  </si>
  <si>
    <t>24</t>
  </si>
  <si>
    <t>FT2205950ZK8</t>
  </si>
  <si>
    <t>MBBANK IBFT LE NGUYEN HIEU 258341 CKN 049739</t>
  </si>
  <si>
    <t>25</t>
  </si>
  <si>
    <t>FT22059CNCF7</t>
  </si>
  <si>
    <t>NGUYEN THI HUYEN TRANG MBVCB.1782730150.075726.ten. .2873 9Bui Thi My Tham .CT tu 0631000438958 NGUYEN THI HUYEN TRANG toi 060278564188 CONG TY TNHH TD KIM AN SACOMBANK Sai Gon thuong tin CKN 075726</t>
  </si>
  <si>
    <t>26</t>
  </si>
  <si>
    <t>FT22059LFLQX</t>
  </si>
  <si>
    <t>VND-TGTT-TRAN HUU TRI TRAN HUU TRI thanh toan HD 255182 FT22059510061558 CKN 222477</t>
  </si>
  <si>
    <t>27</t>
  </si>
  <si>
    <t>FT22059ZXQNT</t>
  </si>
  <si>
    <t>NGUYEN DUY ANH MBVCB.1782861700.034869.NGUYEN thi kim ngan 261383800.CT tu 0621000449438 NGUYEN DUY ANH toi 060278564188 CONG TY TNHH TD KIM AN SACOMBANK Sai Gon thuong tin CKN 034869</t>
  </si>
  <si>
    <t>28</t>
  </si>
  <si>
    <t>FT22059LHJ0C</t>
  </si>
  <si>
    <t>TRUONG THANH KHUC 289023 nguyen thi suong CKN 553550</t>
  </si>
  <si>
    <t>29</t>
  </si>
  <si>
    <t>FT2205940H3J\TN5</t>
  </si>
  <si>
    <t>290019 Tran Chau Quang Vu</t>
  </si>
  <si>
    <t>30</t>
  </si>
  <si>
    <t>FT22059QGPG2\HM2</t>
  </si>
  <si>
    <t>EWX177267564 Lam han vinh 289015</t>
  </si>
  <si>
    <t>31</t>
  </si>
  <si>
    <t>FT22059W3WH8</t>
  </si>
  <si>
    <t>HUYNH THI HONG CAM 263908 huynh thi hong cam 0931672467 CKN 632637</t>
  </si>
  <si>
    <t>32</t>
  </si>
  <si>
    <t>FT220592H09F\KG2</t>
  </si>
  <si>
    <t>290261nguyen thi cam nhung</t>
  </si>
  <si>
    <t>33</t>
  </si>
  <si>
    <t>FT22059051NZ</t>
  </si>
  <si>
    <t>DO THI HONG HANH MBVCB.1783417924.077966.282291 DO THI HONG HANH.CT tu 0111001148180 DO THI HONG HANH toi 060278564188 CONG TY TNHH TD KIM AN SACOMBANK Sai Gon thuong tin CKN 077966</t>
  </si>
  <si>
    <t>34</t>
  </si>
  <si>
    <t>FT22059B19KX</t>
  </si>
  <si>
    <t>MBBANK IBFT Nguyen thi hang cmt 001190005067 CKN 703177</t>
  </si>
  <si>
    <t>35</t>
  </si>
  <si>
    <t>FT22059P1920</t>
  </si>
  <si>
    <t>LE QUOC THANH LE QUOC THANH 196230 CKN 038031</t>
  </si>
  <si>
    <t>36</t>
  </si>
  <si>
    <t>FT220590WMDV\TB1</t>
  </si>
  <si>
    <t>EWX177326469 185245 ha thi thanh xuan</t>
  </si>
  <si>
    <t>37</t>
  </si>
  <si>
    <t>FT2205957GJ1\SG6</t>
  </si>
  <si>
    <t>281785 Pham Khanh Nguyen</t>
  </si>
  <si>
    <t>38</t>
  </si>
  <si>
    <t>FT22059NP5GB</t>
  </si>
  <si>
    <t>MBBANK IBFT VO TRUNG AN chuyen khoan CKN 130645</t>
  </si>
  <si>
    <t>39</t>
  </si>
  <si>
    <t>FT22059VVS65</t>
  </si>
  <si>
    <t>LY MY TRANG Lymytrang.289279.0812999987 FT22059419208916 CKN 101746</t>
  </si>
  <si>
    <t>40</t>
  </si>
  <si>
    <t>FT22059VVC99</t>
  </si>
  <si>
    <t>DINH THI QUYNH QUY Dinh thi quynh quy hd 284069 gop 24 tuan ki 16 CKN 578227</t>
  </si>
  <si>
    <t>41</t>
  </si>
  <si>
    <t>FT22059H5PS0</t>
  </si>
  <si>
    <t>PHAM THI TRUC LY 290544 PHAM HOANG NGOC QUAN-280222-07:56:27 733182 CKN 733182</t>
  </si>
  <si>
    <t>42</t>
  </si>
  <si>
    <t>FT22059G7XMN</t>
  </si>
  <si>
    <t>HOANG VAN TINH MBVCB.1783738867.092143.noi dung nop 290412 hoang van tinh.CT tu 1020737128 HOANG VAN TINH toi 060278564188 CONG TY TNHH TD KIM AN SACOMBANK Sai Gon thuong tin CKN 092143</t>
  </si>
  <si>
    <t>43</t>
  </si>
  <si>
    <t>FT22059KGJT9</t>
  </si>
  <si>
    <t>MBBANK IBFT VIETTEL 400300 LIENNH 220228  220228034282029 400201 DUONG THI TUYET TRINH0965155393 CKN 208932</t>
  </si>
  <si>
    <t>44</t>
  </si>
  <si>
    <t>FT220594Q6J4\BNK</t>
  </si>
  <si>
    <t>PHAM THI DIEU PHUC 289147 PHAM THI DIEU PHUC 0814790479</t>
  </si>
  <si>
    <t>45</t>
  </si>
  <si>
    <t>FT22059VMFV7</t>
  </si>
  <si>
    <t>VND-TGTT-NGUYEN HUY PHUONG Huynh Thi Khanh thanh toan HD 162794 FT22059959739439 CKN 023543</t>
  </si>
  <si>
    <t>46</t>
  </si>
  <si>
    <t>FT2205986259</t>
  </si>
  <si>
    <t>TRAN TRUNG DUNG MBVCB.1783791461.013429.289261 Nguyen thi hoang uyen 0986869632.CT tu 0741000619834 TRAN TRUNG DUNG toi 060278564188 CONG TY TNHH TD KIM AN SACOMBANK Sai Gon thuong tin CKN 013429</t>
  </si>
  <si>
    <t>47</t>
  </si>
  <si>
    <t>FT220597VGRP</t>
  </si>
  <si>
    <t>NGUYEN THI HONG NHI 283010 Nguyen Thi Hong Nhi FT22059079002206 CKN 132368</t>
  </si>
  <si>
    <t>48</t>
  </si>
  <si>
    <t>FT22059GBQ4F\TG2</t>
  </si>
  <si>
    <t>EWX177393157 Nguyen Thuy Quynh chuyen tien</t>
  </si>
  <si>
    <t>49</t>
  </si>
  <si>
    <t>FT220593RKRY</t>
  </si>
  <si>
    <t>TRAN THI KIM LUA MHD 286505 TRAN THI KIM LUA Ky6 CKN 745557</t>
  </si>
  <si>
    <t>50</t>
  </si>
  <si>
    <t>FT22059K7ZV5</t>
  </si>
  <si>
    <t>TRAN KIM THANH 281176 Tran Kim Thanh 0908625327 ky 7 Het FT22059476901566 CKN 144017</t>
  </si>
  <si>
    <t>51</t>
  </si>
  <si>
    <t>FT22059RMN21</t>
  </si>
  <si>
    <t>NGUYEN THI NGOC HUONG MBVCB.1783862874.041637.287590 nguyen thi ngoc huong.CT tu 0251002476034 NGUYEN THI NGOC HUONG toi 060278564188 CONG TY TNHH TD KIM AN SACOMBANK Sai Gon thuong tin CKN 041637</t>
  </si>
  <si>
    <t>52</t>
  </si>
  <si>
    <t>FT22059WMC83</t>
  </si>
  <si>
    <t>HOANG VAN DIEN HOANG VAN DIEN chuyen tien CKN 363062</t>
  </si>
  <si>
    <t>53</t>
  </si>
  <si>
    <t>FT2205937MC2</t>
  </si>
  <si>
    <t>NGUYEN THI MY NGOC Chuyen tien 286760 Dang vu tuong nguyen.0933196195 CKN 949855</t>
  </si>
  <si>
    <t>54</t>
  </si>
  <si>
    <t>FT22059ZNW1C</t>
  </si>
  <si>
    <t>NGUYEN THI CAM TU MBVCB.1783877447.048071.279013 tran quang vinh 0939114959.CT tu 0111000820241 NGUYEN THI CAM TU toi 060278564188 CONG TY TNHH TD KIM AN SACOMBANK Sai Gon thuong tin CKN 048071</t>
  </si>
  <si>
    <t>55</t>
  </si>
  <si>
    <t>FT22059CMQP3</t>
  </si>
  <si>
    <t>LE THI HONG PHAN HD: 114765 LE THI HONG PHAN CMND 025567860-280222-09:17:18 759954 CKN 759954</t>
  </si>
  <si>
    <t>56</t>
  </si>
  <si>
    <t>FT220598FJRB</t>
  </si>
  <si>
    <t>NGUYEN NGOC TRAM 257599 Nguyen Ngoc Tram. Con 1tr8 FT22059897041450 CKN 176663</t>
  </si>
  <si>
    <t>57</t>
  </si>
  <si>
    <t>FT22059HM07B</t>
  </si>
  <si>
    <t>NGUYEN PHAN MINH NGUYEN PHAN MINH 321085522-280222-09:34:49 767668 CKN 767668</t>
  </si>
  <si>
    <t>58</t>
  </si>
  <si>
    <t>FT22059WC8D4</t>
  </si>
  <si>
    <t>NGUYEN THANH KHA Chuyen tien nguyen thanh kha,205287512,0905665258 CKN 574898</t>
  </si>
  <si>
    <t>59</t>
  </si>
  <si>
    <t>FT22059KMQ6Q</t>
  </si>
  <si>
    <t>NGUYEN THI THU TRANG MBVCB.1783991387.097029.NGUYEN THI THU TRANG chuyen tienHD287298.CT tu 1017524781 NGUYEN THI THU TRANG toi 060278564188 CONG TY TNHH TD KIM AN SACOMBANK Sai Gon thuong tin CKN 097029</t>
  </si>
  <si>
    <t>60</t>
  </si>
  <si>
    <t>TT22059JY7ZT\BTV</t>
  </si>
  <si>
    <t>288065 NGUYEN THI MONG CAM</t>
  </si>
  <si>
    <t>61</t>
  </si>
  <si>
    <t>FT22059H2G7Q</t>
  </si>
  <si>
    <t>AGRIBANK STB;060278564188;HUYNH VAN UT ky1 chuyen khoan nguyen thi mien 290128 CKN 355638</t>
  </si>
  <si>
    <t>62</t>
  </si>
  <si>
    <t>FT220592QH5X</t>
  </si>
  <si>
    <t>TRAN VAN MANH Chuyen tien 281911 0909209111 CKN 593615</t>
  </si>
  <si>
    <t>63</t>
  </si>
  <si>
    <t>FT22059M27L7</t>
  </si>
  <si>
    <t>PHAN PHUOC TINH VO THI BICH 290111-280222-10:02:05 780256 CKN 780256</t>
  </si>
  <si>
    <t>64</t>
  </si>
  <si>
    <t>FT220595L6Y8\TBB</t>
  </si>
  <si>
    <t>281667 vo thi minh phuong</t>
  </si>
  <si>
    <t>65</t>
  </si>
  <si>
    <t>FT22059S4L39</t>
  </si>
  <si>
    <t>MBBANK IBFT 286432 le phuoc y 0975330506 CKN 522797</t>
  </si>
  <si>
    <t>66</t>
  </si>
  <si>
    <t>FT22059PHSGH</t>
  </si>
  <si>
    <t>VND-TGTT-PHAN TAN DAT NGUYEN THI NGHIA 0352454279 FT22059948232206 CKN 075731</t>
  </si>
  <si>
    <t>67</t>
  </si>
  <si>
    <t>FT22059HCHSR</t>
  </si>
  <si>
    <t>VND-TGTT-NGUYEN ANH TU Nguyen Anh Tu nop hd 284289 FT22059194752303 CKN 076950</t>
  </si>
  <si>
    <t>68</t>
  </si>
  <si>
    <t>FT22059QN8W4</t>
  </si>
  <si>
    <t>MBBANK IBFT VIETTEL 400300 LIENNH 220228  220228034515019 400201 0918133228 LE THI NGOC HA 079165001998 CKN 603488</t>
  </si>
  <si>
    <t>69</t>
  </si>
  <si>
    <t>FT22059HQ7Y8</t>
  </si>
  <si>
    <t>TONG CONG TY BUU DIEN VIET NAM CK CKN 451246</t>
  </si>
  <si>
    <t>70</t>
  </si>
  <si>
    <t>FT2205914QMT</t>
  </si>
  <si>
    <t>ACC vo van thong 289977 CKN 779340</t>
  </si>
  <si>
    <t>71</t>
  </si>
  <si>
    <t>FT220592WKRQ</t>
  </si>
  <si>
    <t>VU THI HUONG VU THI HUONG chuyen tien CKN 878990</t>
  </si>
  <si>
    <t>72</t>
  </si>
  <si>
    <t>FT22059HT2CM\QU3</t>
  </si>
  <si>
    <t>EWX177471278 NGUYEN THI KIM DUYEN chuyen tien</t>
  </si>
  <si>
    <t>73</t>
  </si>
  <si>
    <t>TT22059Y1805\BTJ</t>
  </si>
  <si>
    <t>LE THI TUYET VAN CT</t>
  </si>
  <si>
    <t>74</t>
  </si>
  <si>
    <t>FT22059D9QV0</t>
  </si>
  <si>
    <t>TRAN THI KIM PHUONG MBVCB.1784233202.003266.TRAN THI KIM PHUONG + CMND 024892690 .CT tu 0911000058127 TRAN THI KIM PHUONG toi 060278564188 CONG TY TNHH TD KIM AN SACOMBANK Sai Gon thuong tin CKN 003266</t>
  </si>
  <si>
    <t>75</t>
  </si>
  <si>
    <t>TT220597GVRS</t>
  </si>
  <si>
    <t>NGUYEN THI KIM YEN MBVCB.1780209281.289042 nguyen thi kim yen .CT tu 0501000192847 toi 060278564188 cong ty TNHHTD Kim AN (SACOMBANK) Sai Gon thuong tin</t>
  </si>
  <si>
    <t>76</t>
  </si>
  <si>
    <t>FT22059160KW</t>
  </si>
  <si>
    <t>DAO THI MINH HANG Dao Thi Minh Hang nop HD 286466 FT22059948296395 CKN 259654</t>
  </si>
  <si>
    <t>77</t>
  </si>
  <si>
    <t>FT220592NCHY</t>
  </si>
  <si>
    <t>MBBANK IBFT VIETTEL 400300 LIENNH 220228  220228034557743 400201 288975 Tran Thi Hong 0933458701 CKN 662329</t>
  </si>
  <si>
    <t>78</t>
  </si>
  <si>
    <t>FT220590L63L</t>
  </si>
  <si>
    <t>MOMOIBFT nguyen ngoc yen CKN 221179</t>
  </si>
  <si>
    <t>79</t>
  </si>
  <si>
    <t>FT22059RTDZB</t>
  </si>
  <si>
    <t>TRUONG THI MO 282149 TRUONG THI MO-280222-11:04:35 812036 CKN 812036</t>
  </si>
  <si>
    <t>80</t>
  </si>
  <si>
    <t>FT22059NSCV0</t>
  </si>
  <si>
    <t>DAO THI VY C VY CHUYEN-280222-11:10:44 815226 CKN 815226</t>
  </si>
  <si>
    <t>81</t>
  </si>
  <si>
    <t>FT220598V2GN</t>
  </si>
  <si>
    <t>NGUYEN DUY KHANH 215502 NGUYEN DUY KHANH DONG LAI KI 32 LAN 1 NGAY DONG 28 02 2022-280222-11:15:14 817522 CKN 817522</t>
  </si>
  <si>
    <t>82</t>
  </si>
  <si>
    <t>FT220593QC83</t>
  </si>
  <si>
    <t>MARITIME BANK 286287 le van toan 0969255511 CKN 197791</t>
  </si>
  <si>
    <t>83</t>
  </si>
  <si>
    <t>FT22059JKKG6\PYN</t>
  </si>
  <si>
    <t>285858 luu thi hong hiep 0914166257</t>
  </si>
  <si>
    <t>84</t>
  </si>
  <si>
    <t>FT22059TH8JR\PYN</t>
  </si>
  <si>
    <t>85</t>
  </si>
  <si>
    <t>FT22059FQHWX</t>
  </si>
  <si>
    <t>AGRIBANK STB;060278564188;NGUYEN THI DIEM THUY chuyen khoan CKN 628824</t>
  </si>
  <si>
    <t>86</t>
  </si>
  <si>
    <t>FT22059T2CN0</t>
  </si>
  <si>
    <t>PHAM THI MAI 278337PHAMTHIMAI-280222-11:39:51 829614 CKN 829614</t>
  </si>
  <si>
    <t>87</t>
  </si>
  <si>
    <t>FT22059KVNDJ</t>
  </si>
  <si>
    <t>MOMOIBFT nguyen xuan anh dao tt CKN 226582</t>
  </si>
  <si>
    <t>88</t>
  </si>
  <si>
    <t>FT220590G136</t>
  </si>
  <si>
    <t>MBBANK IBFT 281965 Pham Tuan Anh CKN 886850</t>
  </si>
  <si>
    <t>89</t>
  </si>
  <si>
    <t>FT22059J9J0F</t>
  </si>
  <si>
    <t>MBBANK IBFT VIETTEL 400300 LIENNH 220228  220228034656334 400201 Do Van Binh 0973312900 CT CKN 892461</t>
  </si>
  <si>
    <t>90</t>
  </si>
  <si>
    <t>FT22059TSJVD</t>
  </si>
  <si>
    <t>PHAN THANH TUAN 290040 Nguyen Thi Hoa Phuong CKN 757740</t>
  </si>
  <si>
    <t>91</t>
  </si>
  <si>
    <t>FT22059JZG93</t>
  </si>
  <si>
    <t>PHAM THI HIEN MBVCB.1784537428.040141.285079 nguyen thanh diep.CT tu 0501000173979 PHAM THI HIEN toi 060278564188 CONG TY TNHH TD KIM AN SACOMBANK Sai Gon thuong tin CKN 040141</t>
  </si>
  <si>
    <t>92</t>
  </si>
  <si>
    <t>FT22059WX0ZX</t>
  </si>
  <si>
    <t>TRAN THI PHUONG LAN MBVCB.1784539045.040776. 079183008964 . Tran thi phuong lan . 0939993533.CT tu 1013888208 TRAN THI PHUONG LAN toi 060278564188 CONG TY TNHH TD KIM AN SACOMBANK Sai Gon thuong tin CKN 040776</t>
  </si>
  <si>
    <t>93</t>
  </si>
  <si>
    <t>FT22059HSD6R</t>
  </si>
  <si>
    <t>MBBANK IBFT VIETTEL 400300 LIENNH 220228  220228034671133 400201 NGUYEN THI NGA 0908371190 CKN 939241</t>
  </si>
  <si>
    <t>94</t>
  </si>
  <si>
    <t>FT220590GR2S</t>
  </si>
  <si>
    <t>VU THI THUY ngo thi thanh 271969 0916285188 CKN 512804</t>
  </si>
  <si>
    <t>95</t>
  </si>
  <si>
    <t>FT22059HB4FS</t>
  </si>
  <si>
    <t>TRAN THI KIEU LIEN TRANTHIKIEULIEN-280222-12:32:50 852337 CKN 852337</t>
  </si>
  <si>
    <t>96</t>
  </si>
  <si>
    <t>FT22059P607J</t>
  </si>
  <si>
    <t>PHAM THI HA MBVCB.1784600428.066499.PHAM THI HA hd 282174.CT tu 0041000194606 PHAM THI HA toi 060278564188 CONG TY TNHH TD KIM AN SACOMBANK Sai Gon thuong tin CKN 066499</t>
  </si>
  <si>
    <t>97</t>
  </si>
  <si>
    <t>FT22059FTHCQ</t>
  </si>
  <si>
    <t>MBBANK IBFT HD 283752 Nguyen Thi Bich Thuan thanh toan ki 6 CKN 985560</t>
  </si>
  <si>
    <t>98</t>
  </si>
  <si>
    <t>FT220598STTZ\CL6</t>
  </si>
  <si>
    <t>288341 NGUYEN PHAN NGUYET HANG</t>
  </si>
  <si>
    <t>99</t>
  </si>
  <si>
    <t>FT22059FK2XX\TG2</t>
  </si>
  <si>
    <t>289458 nguyen thi lanh 0988717178</t>
  </si>
  <si>
    <t>100</t>
  </si>
  <si>
    <t>FT22059803QC</t>
  </si>
  <si>
    <t>DO VAN TRONG MBVCB.1784684396.097983.Cn.CT tu 0121000833574 DO VAN TRONG toi 060278564188 CONG TY TNHH TD KIM AN SACOMBANK Sai Gon thuong tin CKN 097983</t>
  </si>
  <si>
    <t>101</t>
  </si>
  <si>
    <t>FT22059Y55Q4</t>
  </si>
  <si>
    <t>TRAN LINH CHI Tran Linh Chi 001184000628 FT22059859034174 CKN 398438</t>
  </si>
  <si>
    <t>102</t>
  </si>
  <si>
    <t>TT2205987JBB\VL2</t>
  </si>
  <si>
    <t>BUI MAI THY CCCD: 092182002756- TAT TOAN HD MIRA RINEEG HD 261136 ST 16.980.000</t>
  </si>
  <si>
    <t>103</t>
  </si>
  <si>
    <t>TT2205965P0T\VL2</t>
  </si>
  <si>
    <t>BUI MAI THY CCCD: 092182002756- TAT TOAN HD MIRA RINEEG HD 259990 ST: 14.150.000</t>
  </si>
  <si>
    <t>104</t>
  </si>
  <si>
    <t>FT220599MQST\STG</t>
  </si>
  <si>
    <t>EWX177562181 288245 Tran Quang Vinh</t>
  </si>
  <si>
    <t>105</t>
  </si>
  <si>
    <t>FT22059G0B6C</t>
  </si>
  <si>
    <t>TRAN THI TRUC QUYNH MBVCB.1784768645.029066.289867 TRAN THI TRUC QUYNH.CT tu 0701000411929 TRAN THI TRUC QUYNH toi 060278564188 CONG TY TNHH TD KIM AN SACOMBANK Sai Gon thuong tin CKN 029066</t>
  </si>
  <si>
    <t>106</t>
  </si>
  <si>
    <t>FT22059S4B25</t>
  </si>
  <si>
    <t>NGUYEN LY THAO NGUYEN MBVCB.1784770263.029464.NGUYEN LY THAO NGUYEN 286757 0797951189.CT tu 0811000017357 NGUYEN LY THAO NGUYEN toi 060278564188 CONG TY TNHH TD KIM AN SACOMBANK Sai Gon thuong tin CKN 029464</t>
  </si>
  <si>
    <t>107</t>
  </si>
  <si>
    <t>TT22059J3Q31\GV4</t>
  </si>
  <si>
    <t>DANG THI TUY HONG - DONG TIEN CHO CTY</t>
  </si>
  <si>
    <t>108</t>
  </si>
  <si>
    <t>FT22059R8MPY</t>
  </si>
  <si>
    <t>MBBANK IBFT 290744 nguyen lam hong sang CKN 159411</t>
  </si>
  <si>
    <t>109</t>
  </si>
  <si>
    <t>FT22059YFCYG</t>
  </si>
  <si>
    <t>TRANSFER HO CONG THACH DIEN THOAI 0918718496 CKN 186536</t>
  </si>
  <si>
    <t>110</t>
  </si>
  <si>
    <t>FT22059F6NK1</t>
  </si>
  <si>
    <t>MBBANK IBFT 287546 nguyen thi hoa 0348703602 CKN 184426</t>
  </si>
  <si>
    <t>111</t>
  </si>
  <si>
    <t>FT22059JXB76</t>
  </si>
  <si>
    <t>TONG CONG TY BUU DIEN VIET NAM 285437 nguyen thi le van linh CKN 476510</t>
  </si>
  <si>
    <t>FT22059K1H3T\BTE</t>
  </si>
  <si>
    <t>EWX177578352 285686 pham the binh chuyen tien</t>
  </si>
  <si>
    <t>113</t>
  </si>
  <si>
    <t>FT22059LNVKB</t>
  </si>
  <si>
    <t>MBBANK IBFT Nguyen Hoang Yen Phuong 321482453 CKN 215321</t>
  </si>
  <si>
    <t>114</t>
  </si>
  <si>
    <t>FEE.C220225060278564188</t>
  </si>
  <si>
    <t>PHI T02/2022-060278564188-QLTK</t>
  </si>
  <si>
    <t>115</t>
  </si>
  <si>
    <t>FT2205966KTL</t>
  </si>
  <si>
    <t>TRUONG THI KIM CHI MBVCB.1784913248.079224.283850 +TRUONG THI KIM CHI .CT tu 0111000173630 TRUONG THI KIM CHI toi 060278564188 CONG TY TNHH TD KIM AN SACOMBANK Sai Gon thuong tin CKN 079224</t>
  </si>
  <si>
    <t>116</t>
  </si>
  <si>
    <t>FT22059DFS20</t>
  </si>
  <si>
    <t>DUONG MANH KHA Duong manh kha 048069000086 FT22059390299055 CKN 462776</t>
  </si>
  <si>
    <t>117</t>
  </si>
  <si>
    <t>FT22059J3VN8</t>
  </si>
  <si>
    <t>MBBANK IBFT Luong quoc viet 217403 CKN 262089</t>
  </si>
  <si>
    <t>118</t>
  </si>
  <si>
    <t>FT22059WNYKY</t>
  </si>
  <si>
    <t>VND-TGTT-DO MINH TUAN Nguyen Thi Nguyen 224143 FT22059669946950 CKN 185146</t>
  </si>
  <si>
    <t>119</t>
  </si>
  <si>
    <t>FT22059YWT1N</t>
  </si>
  <si>
    <t>TRAN NGOC THUY DUONG Tran ngoc thuy duong 079194010159 hd 228562 CKN 529395</t>
  </si>
  <si>
    <t>120</t>
  </si>
  <si>
    <t>FT22059YPQPV</t>
  </si>
  <si>
    <t>NGUYEN THI BE CHINH Chuyen tien 278634 nguyen thi be chinh CKN 675926</t>
  </si>
  <si>
    <t>121</t>
  </si>
  <si>
    <t>FT22059P3SR2</t>
  </si>
  <si>
    <t>BUI THANH LUAN MBVCB.1784988180.012064.288737- BUI THANH LUAN .CT tu 0061000784449 BUI THANH LUAN toi 060278564188 CONG TY TNHH TD KIM AN SACOMBANK Sai Gon thuong tin CKN 012064</t>
  </si>
  <si>
    <t>122</t>
  </si>
  <si>
    <t>FT22059GQVCY</t>
  </si>
  <si>
    <t>MARITIME BANK Dung ck CKN 177239</t>
  </si>
  <si>
    <t>123</t>
  </si>
  <si>
    <t>FT22059Q7LWW</t>
  </si>
  <si>
    <t>CK NB CKN 104568</t>
  </si>
  <si>
    <t>124</t>
  </si>
  <si>
    <t>FT22059XNGTQ</t>
  </si>
  <si>
    <t>CK NB CKN 104616</t>
  </si>
  <si>
    <t>125</t>
  </si>
  <si>
    <t>FT22059JXB07</t>
  </si>
  <si>
    <t>AGRIBANK STB;060278564188;283849 TRAN THI BE NHI chuyen khoan CKN 339985</t>
  </si>
  <si>
    <t>126</t>
  </si>
  <si>
    <t>FT22059XZF3D</t>
  </si>
  <si>
    <t>MBBANK IBFT tra tien CKN 342983</t>
  </si>
  <si>
    <t>127</t>
  </si>
  <si>
    <t>FT220590DVTJ</t>
  </si>
  <si>
    <t>MBBANK IBFT DAO QUYNH ANH 001184008471 ck CKN 038187</t>
  </si>
  <si>
    <t>128</t>
  </si>
  <si>
    <t>FT22059D71RD\TB5</t>
  </si>
  <si>
    <t>168895 vuong thuc sinh</t>
  </si>
  <si>
    <t>129</t>
  </si>
  <si>
    <t>FT22059HLFS0</t>
  </si>
  <si>
    <t>LUONG TIN TUONG 287471 luong tin tuong 0966416816 CKN 546311</t>
  </si>
  <si>
    <t>130</t>
  </si>
  <si>
    <t>FT22059KR8MR\HPG</t>
  </si>
  <si>
    <t>Chuyen Hop dong 261836 PHAN MINH HOANG</t>
  </si>
  <si>
    <t>131</t>
  </si>
  <si>
    <t>FT220590Z5LV\NC2</t>
  </si>
  <si>
    <t>Nguyen Van tai em HD 276715</t>
  </si>
  <si>
    <t>132</t>
  </si>
  <si>
    <t>FT22059PSCVC</t>
  </si>
  <si>
    <t>AGRIBANK STB;060278564188;TO THI KIM PHUONG chuyen khoan dong tien CKN 749966</t>
  </si>
  <si>
    <t>133</t>
  </si>
  <si>
    <t>FT2205969RZH</t>
  </si>
  <si>
    <t>TONG CONG TY BUU DIEN VIET NAM CK CKN 489898</t>
  </si>
  <si>
    <t>134</t>
  </si>
  <si>
    <t>TT22059QN49Q\CVT</t>
  </si>
  <si>
    <t>DO VAN DANH NOP TK</t>
  </si>
  <si>
    <t>135</t>
  </si>
  <si>
    <t>FT22059S4041</t>
  </si>
  <si>
    <t>MBBANK IBFT VIETTEL 400300 LIENNH 220228  220228034859982 400201 Pham Thi Thuy Trang tt hd 270984 CKN 427745</t>
  </si>
  <si>
    <t>136</t>
  </si>
  <si>
    <t>FT22059JQM84\SO3</t>
  </si>
  <si>
    <t>EWX177611864 Tran Quyet Thang hd284317</t>
  </si>
  <si>
    <t>137</t>
  </si>
  <si>
    <t>FT22059Q4SCX</t>
  </si>
  <si>
    <t>DANH THI PHUONG QUYEN MBVCB.1785139310.080781.DANH THI PHUONG QUYEN chuyen tien.CT tu 1024443999 DANH THI PHUONG QUYEN toi 060278564188 CONG TY TNHH TD KIM AN SACOMBANK Sai Gon thuong tin CKN 080781</t>
  </si>
  <si>
    <t>138</t>
  </si>
  <si>
    <t>FT22059L73LY</t>
  </si>
  <si>
    <t>LE DAI THANG MBVCB.1785165199.092237.290699 LE DAI THANG.CT tu 0531002194299 LE DAI THANG toi 060278564188 CONG TY TNHH TD KIM AN SACOMBANK Sai Gon thuong tin CKN 092237</t>
  </si>
  <si>
    <t>139</t>
  </si>
  <si>
    <t>FT22059BHR8F</t>
  </si>
  <si>
    <t>BUI DUC GIANG 286474 Nguyen thi Van CKN 757196</t>
  </si>
  <si>
    <t>140</t>
  </si>
  <si>
    <t>FT220594MQV2</t>
  </si>
  <si>
    <t>NGUYEN THI LOAN 289243  NGUYEN THI LOAN 135301827 CKN 775088</t>
  </si>
  <si>
    <t>141</t>
  </si>
  <si>
    <t>FT2205973KDZ\BNK</t>
  </si>
  <si>
    <t>TRAN THI HOA 283523 TRAN THI HOA</t>
  </si>
  <si>
    <t>142</t>
  </si>
  <si>
    <t>FT22059WC4RR\CL7</t>
  </si>
  <si>
    <t>EWX177621556 287748 cao hoang kiem</t>
  </si>
  <si>
    <t>143</t>
  </si>
  <si>
    <t>FT2205986FQJ</t>
  </si>
  <si>
    <t>AGRIBANK STB;060278564188;TRUONG MINH QUY chuyen khoan MHD 287892 sdt 0766847879 CKN 049576</t>
  </si>
  <si>
    <t>144</t>
  </si>
  <si>
    <t>FT220596KCPF</t>
  </si>
  <si>
    <t>TRAN THI KIM HANG 282540 TRAN THI KIM HANG 0785479439-280222-15:36:01 932802 CKN 932802</t>
  </si>
  <si>
    <t>145</t>
  </si>
  <si>
    <t>FT22059M92S7</t>
  </si>
  <si>
    <t>017ACCOUNT PVCOMBANK 289434 nguyen thi my linh 0933 491392 CKN 625506</t>
  </si>
  <si>
    <t>146</t>
  </si>
  <si>
    <t>FT22059R4XCK</t>
  </si>
  <si>
    <t>MBBANK IBFT VIETTEL 400300 LIENNH 220228  220228034914400 400201 288180 tran thi bich nhung CKN 525639</t>
  </si>
  <si>
    <t>147</t>
  </si>
  <si>
    <t>FT22059VB8BC</t>
  </si>
  <si>
    <t>VND-TGTT-NGUYEN HUY PHUONG Nguyen Buu Phuong Nhi thanh toan HD 222008 FT22059221345505 CKN 225360</t>
  </si>
  <si>
    <t>148</t>
  </si>
  <si>
    <t>TT22059P1PHM\MM3</t>
  </si>
  <si>
    <t>TRAN THI SAU 290516-290555</t>
  </si>
  <si>
    <t>149</t>
  </si>
  <si>
    <t>FT2205958LH0</t>
  </si>
  <si>
    <t>VND-TGTT-DO MINH TUAN Pham Tuan Khang 255647 FT22059515681967 CKN 227777</t>
  </si>
  <si>
    <t>150</t>
  </si>
  <si>
    <t>FT22059SR25S</t>
  </si>
  <si>
    <t>VND-TGTT-DO MINH TUAN Lam Ngoc Thanh Thuy 257779 FT22059920505276 CKN 228793</t>
  </si>
  <si>
    <t>151</t>
  </si>
  <si>
    <t>FT22059B52LT</t>
  </si>
  <si>
    <t>VND-TGTT-DO MINH TUAN Hoang Thi Thu Thuy 265155 FT22059719046007 CKN 229422</t>
  </si>
  <si>
    <t>152</t>
  </si>
  <si>
    <t>FT22059FYB5T</t>
  </si>
  <si>
    <t>MBBANK IBFT VIETTEL 400300 LIENNH 220228  220228034913693 400201 nguyen hoang luom 289040 CKN 572469</t>
  </si>
  <si>
    <t>153</t>
  </si>
  <si>
    <t>FT22059TJRVT</t>
  </si>
  <si>
    <t>VND-TGTT-PHAN DUY TAN 285200 phan duy tan FT22059546674704 CKN 233585</t>
  </si>
  <si>
    <t>154</t>
  </si>
  <si>
    <t>FT220599GCPW</t>
  </si>
  <si>
    <t>LE VAN THE HUY MBVCB.1785322838.063178.LE VAN THE HUY 289796.CT tu 1019268841 LE VAN THE HUY toi 060278564188 CONG TY TNHH TD KIM AN SACOMBANK Sai Gon thuong tin CKN 063178</t>
  </si>
  <si>
    <t>155</t>
  </si>
  <si>
    <t>FT22059TFK0L</t>
  </si>
  <si>
    <t>VND-TGTT-TRUONG THI MY TRINH 290920 TRUONG THI MY TRINH FT22059180509569 CKN 238289</t>
  </si>
  <si>
    <t>156</t>
  </si>
  <si>
    <t>FT22059FVW74</t>
  </si>
  <si>
    <t>MBBANK IBFT 290918 NGUYEN MANH HAI CKN 650650</t>
  </si>
  <si>
    <t>157</t>
  </si>
  <si>
    <t>FT22059F25C7</t>
  </si>
  <si>
    <t>926TAMNTT CAO THI PHUONG 287470 CKN 321771</t>
  </si>
  <si>
    <t>158</t>
  </si>
  <si>
    <t>FT2205902BNX\TB6</t>
  </si>
  <si>
    <t>DIEP THI BICH Y 0983525219 0938752264</t>
  </si>
  <si>
    <t>159</t>
  </si>
  <si>
    <t>FT22059SFW0M</t>
  </si>
  <si>
    <t>PHAM DUY KHUONG Chuyen tien CKN 930713</t>
  </si>
  <si>
    <t>160</t>
  </si>
  <si>
    <t>FT22059CR1KZ</t>
  </si>
  <si>
    <t>NGUYEN DUY LINH MBVCB.1785439072.017370.NGUYEN DUY LINH chuyen tien.CT tu 0561000501637 NGUYEN DUY LINH toi 060278564188 CONG TY TNHH TD KIM AN SACOMBANK Sai Gon thuong tin CKN 017370</t>
  </si>
  <si>
    <t>161</t>
  </si>
  <si>
    <t>FT220595Z41Z</t>
  </si>
  <si>
    <t>TRA MINH TU MBVCB.1785438046.016942.TRA MINH TU chuyen tien.CT tu 0651000620319 TRA MINH TU toi 060278564188 CONG TY TNHH TD KIM AN SACOMBANK Sai Gon thuong tin CKN 016942</t>
  </si>
  <si>
    <t>162</t>
  </si>
  <si>
    <t>TT22059H3HCW</t>
  </si>
  <si>
    <t>NGUYEN THI PHUONG NGA NGUYEN THI PHUONG NGA 212736</t>
  </si>
  <si>
    <t>163</t>
  </si>
  <si>
    <t>FT22059W570D</t>
  </si>
  <si>
    <t>TRUONG VIET BAO Chuyen tien truong viet bao ct CKN 944401</t>
  </si>
  <si>
    <t>164</t>
  </si>
  <si>
    <t>FT220596WR4P</t>
  </si>
  <si>
    <t>DAM DUC DUONG 289495 0906906849 CKN 626021</t>
  </si>
  <si>
    <t>165</t>
  </si>
  <si>
    <t>FT22059CL0KY</t>
  </si>
  <si>
    <t>NGUYEN BA NHON MBVCB.1785536958.060006.279792 nguyen thi thu ngan.CT tu 0111000351305 NGUYEN BA NHON toi 060278564188 CONG TY TNHH TD KIM AN SACOMBANK Sai Gon thuong tin CKN 060006</t>
  </si>
  <si>
    <t>166</t>
  </si>
  <si>
    <t>FT220597YPXX</t>
  </si>
  <si>
    <t>BUI NGUYEN NHUT MBVCB.1785549541.066004.282177 - 0906827991.CT tu 0381000516368 BUI NGUYEN NHUT toi 060278564188 CONG TY TNHH TD KIM AN SACOMBANK Sai Gon thuong tin CKN 066004</t>
  </si>
  <si>
    <t>167</t>
  </si>
  <si>
    <t>FT22059LXM7M</t>
  </si>
  <si>
    <t>TRUONG MINH NGHIA MBVCB.1785551884.066632.SHD 263452- Nguyen Kim Nen.CT tu 0601000523714 TRUONG MINH NGHIA toi 060278564188 CONG TY TNHH TD KIM AN SACOMBANK Sai Gon thuong tin CKN 066632</t>
  </si>
  <si>
    <t>168</t>
  </si>
  <si>
    <t>FT22059ZGCJY</t>
  </si>
  <si>
    <t>NGUYEN VAN QUYNH THANH TOAN TIEN GOP-280222-16:55:58 971947 CKN 971947</t>
  </si>
  <si>
    <t>169</t>
  </si>
  <si>
    <t>FT22059J635Z</t>
  </si>
  <si>
    <t>TRUONG MINH NGHIA MBVCB.1785570047.075008.SHD 242683 - Tran Thi Anh Tuyet.CT tu 0601000523714 TRUONG MINH NGHIA toi 060278564188 CONG TY TNHH TD KIM AN SACOMBANK Sai Gon thuong tin CKN 075008</t>
  </si>
  <si>
    <t>170</t>
  </si>
  <si>
    <t>FT220595NSS4</t>
  </si>
  <si>
    <t>TRUONG MINH NGHIA MBVCB.1785580122.079942.SHD 243441 - Nguyen Thi Ngoc Thu.CT tu 0601000523714 TRUONG MINH NGHIA toi 060278564188 CONG TY TNHH TD KIM AN SACOMBANK Sai Gon thuong tin CKN 079942</t>
  </si>
  <si>
    <t>171</t>
  </si>
  <si>
    <t>FT2205915ZZY</t>
  </si>
  <si>
    <t>LO THI KIM TUYEN LO THI KIM TUYEN Chuyen tien CKN 954421</t>
  </si>
  <si>
    <t>172</t>
  </si>
  <si>
    <t>FT22059R7B2X</t>
  </si>
  <si>
    <t>AGRIBANK STB;060278564188;KHUU THI BICH THUY chuyen khoan 287337 CKN 552991</t>
  </si>
  <si>
    <t>173</t>
  </si>
  <si>
    <t>FT2205992G89</t>
  </si>
  <si>
    <t>MBBANK IBFT NGUYEN DIEU LINH chuyen khoan CKN 442413</t>
  </si>
  <si>
    <t>174</t>
  </si>
  <si>
    <t>FT22059BXJ5J</t>
  </si>
  <si>
    <t>LE DINH PHU 288684 le dinh phu CKN 511487</t>
  </si>
  <si>
    <t>175</t>
  </si>
  <si>
    <t>FT22059TPTNC</t>
  </si>
  <si>
    <t>DOAN NGOC AN DOAN NGOC AN 288593-280222-17:17:11 981872 CKN 981872</t>
  </si>
  <si>
    <t>176</t>
  </si>
  <si>
    <t>FT220596SV9X</t>
  </si>
  <si>
    <t>MBBANK IBFT VIETTEL 400300 LIENNH 220228  220228035089007 400201 Tai Dai Viet Phuong 0708484886 CKN 924167</t>
  </si>
  <si>
    <t>177</t>
  </si>
  <si>
    <t>FT2205917KMT</t>
  </si>
  <si>
    <t>MARITIME BANK Vo ngoc kim bich thuy . CKN 165146</t>
  </si>
  <si>
    <t>178</t>
  </si>
  <si>
    <t>FT220592BFNQ\AGG</t>
  </si>
  <si>
    <t>EWX177691713 Le Vo Thanh Tam chuyen tien</t>
  </si>
  <si>
    <t>179</t>
  </si>
  <si>
    <t>FT22059HV42T</t>
  </si>
  <si>
    <t>MBBANK IBFT VIETTEL 400300 LIENNH 220228  220228035121167 400201 290062 nguyen thi hong phuoc CKN 013465</t>
  </si>
  <si>
    <t>180</t>
  </si>
  <si>
    <t>FT22059PDBSH</t>
  </si>
  <si>
    <t>NONG BANG THAO KHUYEN 280405 nong bang thao khuyen CKN 610682</t>
  </si>
  <si>
    <t>181</t>
  </si>
  <si>
    <t>FT220593NWSR</t>
  </si>
  <si>
    <t>MARITIME BANK 83774 Huynh Thi Hoang Dung ck CKN 172808</t>
  </si>
  <si>
    <t>182</t>
  </si>
  <si>
    <t>FT220599VBN2</t>
  </si>
  <si>
    <t>NGUYEN KIM TIEN MBVCB.1785770187.067683.282196 + 0935717304.CT tu 0061000375768 NGUYEN KIM TIEN toi 060278564188 CONG TY TNHH TD KIM AN SACOMBANK Sai Gon thuong tin CKN 067683</t>
  </si>
  <si>
    <t>183</t>
  </si>
  <si>
    <t>FT22059S7Z1T</t>
  </si>
  <si>
    <t>MBBANK IBFT Ly van Vung cmnd 121480139 CKN 583020</t>
  </si>
  <si>
    <t>184</t>
  </si>
  <si>
    <t>FT2205978KTP</t>
  </si>
  <si>
    <t>TRUONG HONG CO 269092 TRUONGHONGCO-280222-17:55:55 997819 CKN 997819</t>
  </si>
  <si>
    <t>185</t>
  </si>
  <si>
    <t>FT220590D75Z</t>
  </si>
  <si>
    <t>NGUYEN LY THAO NGUYEN MBVCB.1785793505.078667.NGUYEN LY THAO NGUYEN 286757 .CT tu 0811000017357 NGUYEN LY THAO NGUYEN toi 060278564188 CONG TY TNHH TD KIM AN SACOMBANK Sai Gon thuong tin CKN 078667</t>
  </si>
  <si>
    <t>186</t>
  </si>
  <si>
    <t>FT22059TDHZP</t>
  </si>
  <si>
    <t>MBBANK IBFT VIETTEL 400300 LIENNH 220228  220228035148635 400201 VO NGOC MINH 277042 CKN 078364</t>
  </si>
  <si>
    <t>187</t>
  </si>
  <si>
    <t>FT22059CLKCW</t>
  </si>
  <si>
    <t>MBBANK IBFT VIETTEL 400300 LIENNH 220228  220228035150801 400201 0337644523 LIEU THI HONG DIEP CKN 085964</t>
  </si>
  <si>
    <t>188</t>
  </si>
  <si>
    <t>FT220599KLZ5</t>
  </si>
  <si>
    <t>MARITIME BANK 289701 Truong hoa loi 0913552168 CKN 181644</t>
  </si>
  <si>
    <t>189</t>
  </si>
  <si>
    <t>FT22059G5THR</t>
  </si>
  <si>
    <t>PHAM THI THUYVAN CK nhanh - le van bien26755 CKN 048663</t>
  </si>
  <si>
    <t>190</t>
  </si>
  <si>
    <t>FT22059Q6NWR</t>
  </si>
  <si>
    <t>TRAN NGOC GIA AI tran ngoc gia ai FT22059426433500 CKN 754691</t>
  </si>
  <si>
    <t>191</t>
  </si>
  <si>
    <t>FT22059C5LR5</t>
  </si>
  <si>
    <t>MBBANK IBFT 285565  0961239893 CKN 635189</t>
  </si>
  <si>
    <t>192</t>
  </si>
  <si>
    <t>FT22059K53H5\KGG</t>
  </si>
  <si>
    <t>269496 HUYNH KIM NGOC 0947333636</t>
  </si>
  <si>
    <t>193</t>
  </si>
  <si>
    <t>FT2205955DKF</t>
  </si>
  <si>
    <t>NGUYEN VAN GOP LE QUANG DUNG 287081 FT22059259597403 CKN 777758</t>
  </si>
  <si>
    <t>194</t>
  </si>
  <si>
    <t>FT220590PS32</t>
  </si>
  <si>
    <t>MBBANK IBFT Nguyen Dac Thang 0972735874 CKN 205762</t>
  </si>
  <si>
    <t>195</t>
  </si>
  <si>
    <t>FT220590QRL6</t>
  </si>
  <si>
    <t>AGRIBANK STB;060278564188;NGUYEN THI XUAN NHIEN chuyen khoan CKN 608529</t>
  </si>
  <si>
    <t>196</t>
  </si>
  <si>
    <t>FT22059QBWYH</t>
  </si>
  <si>
    <t>AGRIBANK STB;060278564188;NGUYEN THI XUAN NHIEN chuyen khoan CKN 718599</t>
  </si>
  <si>
    <t>197</t>
  </si>
  <si>
    <t>FT22059MR63H</t>
  </si>
  <si>
    <t>TRAN THI TRUC NGUYEN 291047 TRAN THI TRUC NGUYEN-280222-18:47:13 017305 CKN 017305</t>
  </si>
  <si>
    <t>198</t>
  </si>
  <si>
    <t>FT22059Y18WQ</t>
  </si>
  <si>
    <t>PHAM THI DIEM THUY MBVCB.1786002873.075974.PHAM THI DIEM THUY chuyen tien.CT tu 0071001318991 PHAM THI DIEM THUY toi 060278564188 CONG TY TNHH TD KIM AN SACOMBANK Sai Gon thuong tin CKN 075974</t>
  </si>
  <si>
    <t>199</t>
  </si>
  <si>
    <t>FT22059CFBK8</t>
  </si>
  <si>
    <t>DANG THAO NGUYEN 270067 BUI THI HIEN NHAN CKN 816412</t>
  </si>
  <si>
    <t>200</t>
  </si>
  <si>
    <t>FT2205909Y3B\CLL</t>
  </si>
  <si>
    <t>287338 Nguyen Thi Quan</t>
  </si>
  <si>
    <t>201</t>
  </si>
  <si>
    <t>FT220596SPYW</t>
  </si>
  <si>
    <t>CK NB CKN 720190</t>
  </si>
  <si>
    <t>202</t>
  </si>
  <si>
    <t>FT22059FVVJW</t>
  </si>
  <si>
    <t>LE THI HUYNH TRANG 285708.LETHIHUYNHTRANG-280222-19: 25:54 032581 CKN 032581</t>
  </si>
  <si>
    <t>203</t>
  </si>
  <si>
    <t>FT22059SJ7HV</t>
  </si>
  <si>
    <t>TRUONG THANH NGOC Chuyen tien275996 truong thanh ngoc dong tien CKN 876469</t>
  </si>
  <si>
    <t>204</t>
  </si>
  <si>
    <t>FT22059V7ZF4</t>
  </si>
  <si>
    <t>NGUYEN VAN HIEP HD SO 283782. VO NHAT THIEN LAN 0917026345 CKN 801080</t>
  </si>
  <si>
    <t>205</t>
  </si>
  <si>
    <t>FT22059R9ZX5\HM5</t>
  </si>
  <si>
    <t>282120 le thi hong gam</t>
  </si>
  <si>
    <t>206</t>
  </si>
  <si>
    <t>FT22059C8N19</t>
  </si>
  <si>
    <t>MBBANK IBFT VIETTEL 400300 LIENNH 220228  220228035280526 400201 263447 UNG THANH THAM 0944233668 CKN 479846</t>
  </si>
  <si>
    <t>207</t>
  </si>
  <si>
    <t>FT22059YHYLT\QM4</t>
  </si>
  <si>
    <t>288797 le phuoc loc</t>
  </si>
  <si>
    <t>208</t>
  </si>
  <si>
    <t>FT22059DHPS3</t>
  </si>
  <si>
    <t>LE MINH THUONG 286935 HOANG THI THUY HA-280222-20:50:47 064376 CKN 064376</t>
  </si>
  <si>
    <t>209</t>
  </si>
  <si>
    <t>FT22059V1QFB</t>
  </si>
  <si>
    <t>AGRIBANK STB;060278564188;289281 nghiem huynh phuc CKN 380690</t>
  </si>
  <si>
    <t>210</t>
  </si>
  <si>
    <t>FT22059DRC8W\QH1</t>
  </si>
  <si>
    <t>EWX177806503 NGUYEN THI NGOC THUY 290644</t>
  </si>
  <si>
    <t>211</t>
  </si>
  <si>
    <t>FT22059Q0981</t>
  </si>
  <si>
    <t>NGUYEN TU PHUC thuy tt goc lai CKN 779945</t>
  </si>
  <si>
    <t>212</t>
  </si>
  <si>
    <t>060278564188-20220228</t>
  </si>
  <si>
    <t>CHI LAI TK TIEN GUI 060278564188</t>
  </si>
  <si>
    <t>213</t>
  </si>
  <si>
    <t>FT22060B3F4Q</t>
  </si>
  <si>
    <t>TRAN VAN THA 287226 TRAN HOANG MINH DONG TIEN-280222-22:02:11 086288 CKN 086288</t>
  </si>
  <si>
    <t>214</t>
  </si>
  <si>
    <t>FT22060VLP18</t>
  </si>
  <si>
    <t>NGUYEN THU LE HOANG 130216DAO NGOC THANH-280222-22:32:58 093797 CKN 093797</t>
  </si>
  <si>
    <t>215</t>
  </si>
  <si>
    <t>FT2206049GC0</t>
  </si>
  <si>
    <t>MBBANK IBFT HUYNH BAO NGOC chuyen khoan CKN 902362</t>
  </si>
  <si>
    <t>216</t>
  </si>
  <si>
    <t>FT22060BVV2D</t>
  </si>
  <si>
    <t>NGUYEN THI KIEU OANH IBVCB.1786622762.054850.LTQH.CT tu 1013646581 NGUYEN THI KIEU OANH toi 060278564188 CONG TY TNHH TD KIM AN SACOMBANK Sai Gon thuong tin CKN 054850</t>
  </si>
  <si>
    <t>217</t>
  </si>
  <si>
    <t>FT22060RCYLP</t>
  </si>
  <si>
    <t>ACC 285613 Nguyen Chi Linh CKN 564798</t>
  </si>
  <si>
    <t>218</t>
  </si>
  <si>
    <t>FT22060Y0S8G\QN3</t>
  </si>
  <si>
    <t>Pham thanh tuan</t>
  </si>
  <si>
    <t>219</t>
  </si>
  <si>
    <t>FT220603C9JH</t>
  </si>
  <si>
    <t>LE THI KIM OANH MBVCB.1786873865.045216.LE THI KIM OANH chuyen tien.CT tu 0291000219250 LE THI KIM OANH toi 060278564188 CONG TY TNHH TD KIM AN SACOMBANK Sai Gon thuong tin CKN 045216</t>
  </si>
  <si>
    <t>220</t>
  </si>
  <si>
    <t>FT220604RZP5</t>
  </si>
  <si>
    <t>AGRIBANK STB;060278564188;NGUYEN THI KIM PHUONG chuyen khoan288138 CKN 365684</t>
  </si>
  <si>
    <t>221</t>
  </si>
  <si>
    <t>FT22060XR536</t>
  </si>
  <si>
    <t>MAI NGUYEN YEN CHINH MBVCB.1786912469.060652.MAI NGUYEN YEN CHINH chuyen tien ngay 28 2, 1,2 3.CT tu 0281000366847 MAI NGUYEN YEN CHINH toi 060278564188 CONG TY TNHH TD KIM AN SACOMBANK Sai Gon thuong tin CKN 060652</t>
  </si>
  <si>
    <t>222</t>
  </si>
  <si>
    <t>TT22060S5HNW\PNA</t>
  </si>
  <si>
    <t>TRUONG VAN PHUC THANH TOAN HD 287531</t>
  </si>
  <si>
    <t>223</t>
  </si>
  <si>
    <t>FT22060YF924\QU3</t>
  </si>
  <si>
    <t>ZP1052008921 FTA 220301000041446 282517Minh0917847701</t>
  </si>
  <si>
    <t>224</t>
  </si>
  <si>
    <t>FT220609CSP3</t>
  </si>
  <si>
    <t>LE KIM NGUYEN Bui The Vinh so hop dong 280941 CKN 819397</t>
  </si>
  <si>
    <t>225</t>
  </si>
  <si>
    <t>FT22060DC9S9\HM6</t>
  </si>
  <si>
    <t>Nguyen Thi Ngoc Suong CMND 023568758</t>
  </si>
  <si>
    <t>226</t>
  </si>
  <si>
    <t>FT220608K7DD</t>
  </si>
  <si>
    <t>PHAM MINH TRAM MBVCB.1787017871.002694.287721 pham minh tram 0932863168.CT tu 0261003475748 PHAM MINH TRAM toi 060278564188 CONG TY TNHH TD KIM AN SACOMBANK Sai Gon thuong tin CKN 002694</t>
  </si>
  <si>
    <t>227</t>
  </si>
  <si>
    <t>FT22060S7354</t>
  </si>
  <si>
    <t>NGUYEN THI THANH NGOC NGUYEN THI THANH NGOC chuyen tien 289935 CKN 351764</t>
  </si>
  <si>
    <t>228</t>
  </si>
  <si>
    <t>FT22060Y8P22</t>
  </si>
  <si>
    <t>HUYNH THI TRANG MBVCB.1787033800.009565.HUYNH THI TRANG chuyen tien 290035 huynh thi trang.CT tu 0181002022448 HUYNH THI TRANG toi 060278564188 CONG TY TNHH TD KIM AN SACOMBANK Sai Gon thuong tin CKN 009565</t>
  </si>
  <si>
    <t>229</t>
  </si>
  <si>
    <t>FT22060ZK1RZ</t>
  </si>
  <si>
    <t>NGUYEN THI LAN 282040-NGUYEN THI LAN-0906810559 CKN 103373</t>
  </si>
  <si>
    <t>230</t>
  </si>
  <si>
    <t>FT220604FHWZ</t>
  </si>
  <si>
    <t>BUI HUU DUNG MBVCB.1787100308.037775.BUI HUU DUNG chuyen tien.CT tu 0231000652525 BUI HUU DUNG toi 060278564188 CONG TY TNHH TD KIM AN SACOMBANK Sai Gon thuong tin CKN 037775</t>
  </si>
  <si>
    <t>231</t>
  </si>
  <si>
    <t>FT22060HBW48</t>
  </si>
  <si>
    <t>PHAM VINH NGHIEM MBVCB.1787143716.057174.PHAM VINH NGHIEM 284163.CT tu 0621000424930 PHAM VINH NGHIEM toi 060278564188 CONG TY TNHH TD KIM AN SACOMBANK Sai Gon thuong tin CKN 057174</t>
  </si>
  <si>
    <t>FT22060C2RWN</t>
  </si>
  <si>
    <t>TRINH THI THUY HANG 285924-TRINH THI THUY HANG-010322-09:32:12 186366 CKN 186366</t>
  </si>
  <si>
    <t>SCB KMD 1.xls</t>
  </si>
  <si>
    <t>FT22059Z04WC</t>
  </si>
  <si>
    <t>CK NB CKN 988008</t>
  </si>
  <si>
    <t>060231146949-20220228</t>
  </si>
  <si>
    <t>CHI LAI TK TIEN GUI 060231146949</t>
  </si>
  <si>
    <t>Số dư cuối ngày</t>
  </si>
  <si>
    <t>Tên file</t>
  </si>
  <si>
    <t>1. Đường dẫn tới Folder chứa sao kê (Đường dẫn luôn cần ở vị trí ô B4, sau khi copy từ cửa sổ window vào thì cần thêm "\" ở cuối)</t>
  </si>
  <si>
    <t>PVCB TD.xlsx</t>
  </si>
  <si>
    <t>SCB TDKA.xlsx</t>
  </si>
  <si>
    <t>TCB DVTDVN</t>
  </si>
  <si>
    <t>VIMO KMD.xlsx</t>
  </si>
  <si>
    <t>VIMO KMT.xlsx</t>
  </si>
  <si>
    <t>VIMO KSG.xlsx</t>
  </si>
  <si>
    <t>Ngày giá trị</t>
  </si>
  <si>
    <t>Số bút toán</t>
  </si>
  <si>
    <t>Nội dung giao dịch</t>
  </si>
  <si>
    <t>Số tiền ghi có</t>
  </si>
  <si>
    <t>Số tiền ghi nợ</t>
  </si>
  <si>
    <t>Số dư tham chiếu</t>
  </si>
  <si>
    <t>Thời gian giao dịch</t>
  </si>
  <si>
    <t>03/03/2022</t>
  </si>
  <si>
    <t>FT22062973470001\KBB</t>
  </si>
  <si>
    <t>KA thanh toan Hop dong so 20211231- 7989171 va CCCD-CMND 079194008532</t>
  </si>
  <si>
    <t>03/03/2022 17:21</t>
  </si>
  <si>
    <t>VPB TDKA.xls</t>
  </si>
  <si>
    <t>FT22062053602070\KBB</t>
  </si>
  <si>
    <t>KA thanh toan Hop dong so 20210618- 7952999 va CCCD-CMND 092198000382</t>
  </si>
  <si>
    <t>FT22062330854963\KBB</t>
  </si>
  <si>
    <t>KA thanh toan Hop dong so 20211227- 2945681 va CCCD-CMND 022716112</t>
  </si>
  <si>
    <t>FT22062330854883\KBB</t>
  </si>
  <si>
    <t>KA thanh toan Hop dong so 20210712- 0943739 va CCCD-CMND 281079493</t>
  </si>
  <si>
    <t>FT22062680804083\KBB</t>
  </si>
  <si>
    <t>KA thanh toan Hop dong so 20220114- 7964327 va CCCD-CMND 340548063</t>
  </si>
  <si>
    <t>FT22062022555223\KBB</t>
  </si>
  <si>
    <t>KA thanh toan Hop dong so 20211126- 8977404 va CCCD-CMND 092186005389</t>
  </si>
  <si>
    <t>FT22062027800333\KBB</t>
  </si>
  <si>
    <t>KA thanh toan Hop dong so 20211225- 5923718 va CCCD-CMND 075187016776</t>
  </si>
  <si>
    <t>03/03/2022 17:20</t>
  </si>
  <si>
    <t>FT22062390193163\KBB</t>
  </si>
  <si>
    <t>KA thanh toan Hop dong so 20201110- 7931742 va CCCD-CMND 036173008263</t>
  </si>
  <si>
    <t>FT22062973467166\KBB</t>
  </si>
  <si>
    <t>KA thanh toan Hop dong so 20211207- 2907913 va CCCD-CMND 031163005769</t>
  </si>
  <si>
    <t>FT22062330852191\KBB</t>
  </si>
  <si>
    <t>KA thanh toan Hop dong so 20211123- 0944506 va CCCD-CMND 300691746</t>
  </si>
  <si>
    <t>FT22062022552712\KBB</t>
  </si>
  <si>
    <t>KA thanh toan Hop dong so 20211210- 5941673 va CCCD-CMND 272339008</t>
  </si>
  <si>
    <t>FT22062390192765\KBB</t>
  </si>
  <si>
    <t>KA thanh toan Hop dong so 20211206- 7999211 va CCCD-CMND 192179295</t>
  </si>
  <si>
    <t>FT22062501982495\KBB</t>
  </si>
  <si>
    <t>KA thanh toan Hop dong so 20211214- 3999450 va CCCD-CMND 331540858</t>
  </si>
  <si>
    <t>FT22062330851624\KBB</t>
  </si>
  <si>
    <t>KA thanh toan Hop dong so 20211123- 1947360 va CCCD-CMND 271385718</t>
  </si>
  <si>
    <t>FT22062331043890\KBB</t>
  </si>
  <si>
    <t>KHONG RUT - THANH TOAN GOC LAI PHI PHAT HD LD2018801191</t>
  </si>
  <si>
    <t>03/03/2022 16:51</t>
  </si>
  <si>
    <t>FT22062922739984\KBB</t>
  </si>
  <si>
    <t>KHONG RUT - THANH TOAN GOC LAI PHI PHAT HD LD2115200710</t>
  </si>
  <si>
    <t>FT22062022444406\KBB</t>
  </si>
  <si>
    <t>KHONG RUT - THANH TOAN GOC LAI PHI PHAT HD LD2027501419</t>
  </si>
  <si>
    <t>FT22062331043638\KBB</t>
  </si>
  <si>
    <t>KHONG RUT - THANH TOAN GOC LAI PHI PHAT HD LD2022800570</t>
  </si>
  <si>
    <t>FT22062330743651\KBB</t>
  </si>
  <si>
    <t>KHONG RUT - THANH TOAN GOC LAI PHI PHAT HD LD2113801669</t>
  </si>
  <si>
    <t>FT22062450707523\KBB</t>
  </si>
  <si>
    <t>KHONG RUT - THANH TOAN GOC LAI PHI PHAT HD LD2114100641</t>
  </si>
  <si>
    <t>FT22062077338800\KBB</t>
  </si>
  <si>
    <t>KHONG RUT - THANH TOAN GOC LAI PHI PHAT HD LD2128201614</t>
  </si>
  <si>
    <t>FT22062450707282\KBB</t>
  </si>
  <si>
    <t>KHONG RUT - THANH TOAN GOC LAI PHI PHAT HD LD2113200514</t>
  </si>
  <si>
    <t>FT22062077338548\KBB</t>
  </si>
  <si>
    <t>KHONG RUT - THANH TOAN GOC LAI PHI PHAT HD LD2021100328</t>
  </si>
  <si>
    <t>FT22062330743074\KBB</t>
  </si>
  <si>
    <t>KHONG RUT - THANH TOAN GOC LAI PHI PHAT HD LD2128202452</t>
  </si>
  <si>
    <t>FT22062732208901\KBB</t>
  </si>
  <si>
    <t>KHONG RUT - THANH TOAN GOC LAI PHI PHAT HD LD2122202333</t>
  </si>
  <si>
    <t>FT22062390083810\KBB</t>
  </si>
  <si>
    <t>KHONG RUT - THANH TOAN GOC LAI PHI PHAT HD LD2128202442</t>
  </si>
  <si>
    <t>FT22062330742921\KBB</t>
  </si>
  <si>
    <t>KHONG RUT - THANH TOAN GOC LAI PHI PHAT HD LD2128202239</t>
  </si>
  <si>
    <t>FT22062027700660\KBB</t>
  </si>
  <si>
    <t>KHONG RUT - THANH TOAN GOC LAI PHI PHAT HD LD2132301785</t>
  </si>
  <si>
    <t>FT22062330742680\KBB</t>
  </si>
  <si>
    <t>KHONG RUT - THANH TOAN GOC LAI PHI PHAT HD LD2023300673</t>
  </si>
  <si>
    <t>FT22062016651417\KBB</t>
  </si>
  <si>
    <t>KHONG RUT - THANH TOAN GOC LAI PHI PHAT HD LD2027000395</t>
  </si>
  <si>
    <t>FT22062732208072\KBB</t>
  </si>
  <si>
    <t>KHONG RUT - THANH TOAN GOC LAI PHI PHAT HD LD2122202385</t>
  </si>
  <si>
    <t>FT22062027700011\KBB</t>
  </si>
  <si>
    <t>KHONG RUT - THANH TOAN GOC LAI PHI PHAT HD LD2113101450</t>
  </si>
  <si>
    <t>FT22062027699850\KBB</t>
  </si>
  <si>
    <t>KHONG RUT - THANH TOAN GOC LAI PHI PHAT HD LD2117000447</t>
  </si>
  <si>
    <t>FT22062776271704\KBB</t>
  </si>
  <si>
    <t>KHONG RUT - THANH TOAN GOC LAI PHI PHAT HD LD2118200866</t>
  </si>
  <si>
    <t>FT22062776271532\KBB</t>
  </si>
  <si>
    <t>KHONG RUT - THANH TOAN GOC LAI PHI PHAT HD LD2106901688</t>
  </si>
  <si>
    <t>FT22062829395984\KBB</t>
  </si>
  <si>
    <t>KHONG RUT - THANH TOAN GOC LAI PHI PHAT HD LD2114901772</t>
  </si>
  <si>
    <t>FT22062776271370\KBB</t>
  </si>
  <si>
    <t>KHONG RUT - THANH TOAN GOC LAI PHI PHAT HD LD2128200858</t>
  </si>
  <si>
    <t>FT22062077336687\KBB</t>
  </si>
  <si>
    <t>KHONG RUT - THANH TOAN GOC LAI PHI PHAT HD LD2116800970</t>
  </si>
  <si>
    <t>FT22062829395731\KBB</t>
  </si>
  <si>
    <t>KHONG RUT - THANH TOAN GOC LAI PHI PHAT HD LD2026300265</t>
  </si>
  <si>
    <t>FT22062589266711\KBB</t>
  </si>
  <si>
    <t>KHONG RUT - THANH TOAN GOC LAI PHI PHAT HD LD2027000364</t>
  </si>
  <si>
    <t>FT22062077336432\KBB</t>
  </si>
  <si>
    <t>KHONG RUT - THANH TOAN GOC LAI PHI PHAT HD LD2111400416</t>
  </si>
  <si>
    <t>FT22062776270975\KBB</t>
  </si>
  <si>
    <t>KHONG RUT - THANH TOAN GOC LAI PHI PHAT HD LD2114501322</t>
  </si>
  <si>
    <t>FT22062732206705\KBB</t>
  </si>
  <si>
    <t>KHONG RUT - THANH TOAN GOC LAI PHI PHAT HD LD2122202117</t>
  </si>
  <si>
    <t>FT22062829395155\KBB</t>
  </si>
  <si>
    <t>KHONG RUT - THANH TOAN GOC LAI PHI PHAT HD LD2027000246</t>
  </si>
  <si>
    <t>FT22062390081533\KBB</t>
  </si>
  <si>
    <t>KHONG RUT - THANH TOAN GOC LAI PHI PHAT HD LD2113101235</t>
  </si>
  <si>
    <t>FT22062732206371\KBB</t>
  </si>
  <si>
    <t>KHONG RUT - THANH TOAN GOC LAI PHI PHAT HD LD2115201556</t>
  </si>
  <si>
    <t>FT22062829394840\KBB</t>
  </si>
  <si>
    <t>KHONG RUT - THANH TOAN GOC LAI PHI PHAT HD LD2112500932</t>
  </si>
  <si>
    <t>FT22062360560475\KBB</t>
  </si>
  <si>
    <t>KHONG RUT - THANH TOAN GOC LAI PHI PHAT HD LD2026600153</t>
  </si>
  <si>
    <t>FT22062776270912\KBB</t>
  </si>
  <si>
    <t>KHONG RUT - THANH TOAN GOC LAI PHI PHAT HD LD2113301714</t>
  </si>
  <si>
    <t>FT22062331040740\KBB</t>
  </si>
  <si>
    <t>KHONG RUT - THANH TOAN GOC LAI PHI PHAT HD LD2128202140</t>
  </si>
  <si>
    <t>03/03/2022 16:50</t>
  </si>
  <si>
    <t>FT22062022440347\KBB</t>
  </si>
  <si>
    <t>KHONG RUT - THANH TOAN GOC LAI PHI PHAT HD LD2113200291</t>
  </si>
  <si>
    <t>FT22062248723532\KBB</t>
  </si>
  <si>
    <t>KHONG RUT - THANH TOAN GOC LAI PHI PHAT HD LD2115301366</t>
  </si>
  <si>
    <t>FT22062829393950\KBB</t>
  </si>
  <si>
    <t>KHONG RUT - THANH TOAN GOC LAI PHI PHAT HD LD2113401061</t>
  </si>
  <si>
    <t>FT22062776270336\KBB</t>
  </si>
  <si>
    <t>KHONG RUT - THANH TOAN GOC LAI PHI PHAT HD LD2114100957</t>
  </si>
  <si>
    <t>FT22062450702988\KBB</t>
  </si>
  <si>
    <t>KHONG RUT - THANH TOAN GOC LAI PHI PHAT HD LD2114400433</t>
  </si>
  <si>
    <t>FT22062829393120\KBB</t>
  </si>
  <si>
    <t>KHONG RUT - THANH TOAN GOC LAI PHI PHAT HD LD2128200852</t>
  </si>
  <si>
    <t>FT22062776269607\KBB</t>
  </si>
  <si>
    <t>KHONG RUT - THANH TOAN GOC LAI PHI PHAT HD LD2128201627</t>
  </si>
  <si>
    <t>FT22062022440122\KBB</t>
  </si>
  <si>
    <t>KHONG RUT - THANH TOAN GOC LAI PHI PHAT HD LD2027400420</t>
  </si>
  <si>
    <t>FT22062922734448\KBB</t>
  </si>
  <si>
    <t>KHONG RUT - THANH TOAN GOC LAI PHI PHAT HD LD2114701729</t>
  </si>
  <si>
    <t>FT22062330982816</t>
  </si>
  <si>
    <t>NHAN TU 04301010058947 TRACE 149354 ND Chuyen khoan</t>
  </si>
  <si>
    <t>03/03/2022 16:34</t>
  </si>
  <si>
    <t>FT22062360502407</t>
  </si>
  <si>
    <t>NHAN TU 04301010058947 TRACE 149265 ND Chuyen khoan</t>
  </si>
  <si>
    <t>02/03/2022</t>
  </si>
  <si>
    <t>FT22061319481313\KBB</t>
  </si>
  <si>
    <t>KA thanh toan Hop dong so 20211117- 0981869 va CCCD-CMND 334594472</t>
  </si>
  <si>
    <t>02/03/2022 16:51</t>
  </si>
  <si>
    <t>FT22061502588560\KBB</t>
  </si>
  <si>
    <t>KA thanh toan Hop dong so 20211229- 9968933 va CCCD-CMND 079090030474</t>
  </si>
  <si>
    <t>FT22061300501050\KBB</t>
  </si>
  <si>
    <t>KA thanh toan Hop dong so 20200808- 3908442 va CCCD-CMND 300443873</t>
  </si>
  <si>
    <t>FT22061502588307\KBB</t>
  </si>
  <si>
    <t>KA thanh toan Hop dong so 20211116- 9973170 va CCCD-CMND 221322337</t>
  </si>
  <si>
    <t>FT22061319481009\KBB</t>
  </si>
  <si>
    <t>KA thanh toan Hop dong so 20211116- 9968862 va CCCD-CMND 001191016752</t>
  </si>
  <si>
    <t>FT22061319480918\KBB</t>
  </si>
  <si>
    <t>KA thanh toan Hop dong so 20211117- 1983565 va CCCD-CMND 092086001673</t>
  </si>
  <si>
    <t>FT22061300500716\KBB</t>
  </si>
  <si>
    <t>KA thanh toan Hop dong so 20211116- 9968794 va CCCD-CMND 092086012416</t>
  </si>
  <si>
    <t>FT22061512895161\KBB</t>
  </si>
  <si>
    <t>KA thanh toan Hop dong so 20211215- 1909733 va CCCD-CMND 092074002902</t>
  </si>
  <si>
    <t>FT22061300500392\KBB</t>
  </si>
  <si>
    <t>KA thanh toan Hop dong so 20211116- 4975438 va CCCD-CMND 079168020517</t>
  </si>
  <si>
    <t>FT22061604905869\KBB</t>
  </si>
  <si>
    <t>KA thanh toan Hop dong so 20210514- 1900526 va CCCD-CMND 200873450</t>
  </si>
  <si>
    <t>FT22061604905790\KBB</t>
  </si>
  <si>
    <t>KA thanh toan Hop dong so 20211117- 2978690 va CCCD-CMND 095172000019</t>
  </si>
  <si>
    <t>FT22061652217187\KBB</t>
  </si>
  <si>
    <t>KA thanh toan Hop dong so 20211123- 8946403 va CCCD-CMND 079083000608</t>
  </si>
  <si>
    <t>FT22061502587092\KBB</t>
  </si>
  <si>
    <t>KA thanh toan Hop dong so 20211116- 5971781 va CCCD-CMND 082176001804</t>
  </si>
  <si>
    <t>FT22061958895296\KBB</t>
  </si>
  <si>
    <t>KA thanh toan Hop dong so 20211116- 6970516 va CCCD-CMND 201806889</t>
  </si>
  <si>
    <t>FT22061407805710\KBB</t>
  </si>
  <si>
    <t>KA thanh toan Hop dong so 20211113- 7936002 va CCCD-CMND 241013622</t>
  </si>
  <si>
    <t>FT22061502586363\KBB</t>
  </si>
  <si>
    <t>KA thanh toan Hop dong so 20211115- 9964308 va CCCD-CMND 049164016983</t>
  </si>
  <si>
    <t>FT22061315580876\KBB</t>
  </si>
  <si>
    <t>KA thanh toan Hop dong so 20210630- 6937050 va CCCD-CMND 201200592</t>
  </si>
  <si>
    <t>FT22061300499358\KBB</t>
  </si>
  <si>
    <t>KA thanh toan Hop dong so 20210827- 9909478 va CCCD-CMND 366347739</t>
  </si>
  <si>
    <t>FT22061547067779\KBB</t>
  </si>
  <si>
    <t>KA thanh toan Hop dong so 20210508- 7951606 va CCCD-CMND 241485113</t>
  </si>
  <si>
    <t>FT22061319478750\KBB</t>
  </si>
  <si>
    <t>KA thanh toan Hop dong so 20211125- 0969873 va CCCD-CMND 371032477</t>
  </si>
  <si>
    <t>FT22061958893506\KBB</t>
  </si>
  <si>
    <t>KA thanh toan Hop dong so 20211201- 2937121 va CCCD-CMND 310787249</t>
  </si>
  <si>
    <t>FT22061319478416\KBB</t>
  </si>
  <si>
    <t>KA thanh toan Hop dong so 20211001- 9996543 va CCCD-CMND 086081001093</t>
  </si>
  <si>
    <t>FT22061876449153\KBB</t>
  </si>
  <si>
    <t>KA thanh toan Hop dong so 20210513- 3992377 va CCCD-CMND 079163008288</t>
  </si>
  <si>
    <t>FT22061547067030\KBB</t>
  </si>
  <si>
    <t>KA thanh toan Hop dong so 20210717- 8984661 va CCCD-CMND 023849675</t>
  </si>
  <si>
    <t>FT22061151070878\KBB</t>
  </si>
  <si>
    <t>KA thanh toan Hop dong so 20211117- 3984430 va CCCD-CMND 037182007712</t>
  </si>
  <si>
    <t>FT22061300497819\KBB</t>
  </si>
  <si>
    <t>KA thanh toan Hop dong so 20211113- 2932658 va CCCD-CMND 245346490</t>
  </si>
  <si>
    <t>FT22061547066716\KBB</t>
  </si>
  <si>
    <t>KA thanh toan Hop dong so 20210716- 8976339 va CCCD-CMND 025114150</t>
  </si>
  <si>
    <t>02/03/2022 16:50</t>
  </si>
  <si>
    <t>FT22061547066554\KBB</t>
  </si>
  <si>
    <t>KA thanh toan Hop dong so 20211123- 9948871 va CCCD-CMND 049083008792</t>
  </si>
  <si>
    <t>FT22061547066392\KBB</t>
  </si>
  <si>
    <t>KA thanh toan Hop dong so 20211117- 9980009 va CCCD-CMND 341306795</t>
  </si>
  <si>
    <t>FT22061502583600\KBB</t>
  </si>
  <si>
    <t>KA thanh toan Hop dong so 20211117- 2982451 va CCCD-CMND 205298573</t>
  </si>
  <si>
    <t>FT22061300497009\KBB</t>
  </si>
  <si>
    <t>KA thanh toan Hop dong so 20211126- 7977740 va CCCD-CMND 221109008</t>
  </si>
  <si>
    <t>FT22061300496847\KBB</t>
  </si>
  <si>
    <t>KA thanh toan Hop dong so 20211127- 8995797 va CCCD-CMND 205475310</t>
  </si>
  <si>
    <t>FT22061300496766\KBB</t>
  </si>
  <si>
    <t>KA thanh toan Hop dong so 20211129- 3916597 va CCCD-CMND 320600811</t>
  </si>
  <si>
    <t>FT22061958891643\KBB</t>
  </si>
  <si>
    <t>KA thanh toan Hop dong so 20211115- 1963323 va CCCD-CMND 079166029570</t>
  </si>
  <si>
    <t>FT22061407802046\KBB</t>
  </si>
  <si>
    <t>KA thanh toan Hop dong so 20211116- 4969994 va CCCD-CMND 096182006188</t>
  </si>
  <si>
    <t>FT22061547065501\KBB</t>
  </si>
  <si>
    <t>KA thanh toan Hop dong so 20211231- 0994233 va CCCD-CMND 365368845</t>
  </si>
  <si>
    <t>FT22061502582709\KBB</t>
  </si>
  <si>
    <t>KA thanh toan Hop dong so 20210604- 2960569 va CCCD-CMND 341418179</t>
  </si>
  <si>
    <t>FT22061407801812\KBB</t>
  </si>
  <si>
    <t>KA thanh toan Hop dong so 20211113- 7936248 va CCCD-CMND 049191008313</t>
  </si>
  <si>
    <t>FT22061319476139\KBB</t>
  </si>
  <si>
    <t>KA thanh toan Hop dong so 20211116- 6977294 va CCCD-CMND 079166010545</t>
  </si>
  <si>
    <t>FT22061286809775\KBB</t>
  </si>
  <si>
    <t>KA thanh toan Hop dong so 20211113- 4933479 va CCCD-CMND 079166009198</t>
  </si>
  <si>
    <t>FT22061604731339</t>
  </si>
  <si>
    <t>NHAN TU 04301010058947 TRACE 122308 ND Chuyen khoan</t>
  </si>
  <si>
    <t>02/03/2022 16:06</t>
  </si>
  <si>
    <t>01/03/2022</t>
  </si>
  <si>
    <t>FT22060030820913\KBB</t>
  </si>
  <si>
    <t>KA thanh toan Hop dong so 20210626- 3912880 va CCCD-CMND 370885815</t>
  </si>
  <si>
    <t>01/03/2022 16:00</t>
  </si>
  <si>
    <t>FT22060030820751\KBB</t>
  </si>
  <si>
    <t>KA thanh toan Hop dong so 20211120- 0912249 va CCCD-CMND 340956195</t>
  </si>
  <si>
    <t>FT22060128305757\KBB</t>
  </si>
  <si>
    <t>KA thanh toan Hop dong so 20210719- 7998193 va CCCD-CMND 205967176</t>
  </si>
  <si>
    <t>FT22060030820418\KBB</t>
  </si>
  <si>
    <t>KA thanh toan Hop dong so 20210429- 8984300 va CCCD-CMND 092182002756</t>
  </si>
  <si>
    <t>FT22060128305501\KBB</t>
  </si>
  <si>
    <t>KA thanh toan Hop dong so 20210629- 5930872 va CCCD-CMND 320558960</t>
  </si>
  <si>
    <t>FT22060172040924</t>
  </si>
  <si>
    <t>NHAN TU 04301010058947 TRACE 176568 ND Chuyen khoan</t>
  </si>
  <si>
    <t>01/03/2022 15:46</t>
  </si>
  <si>
    <t>28/02/2022</t>
  </si>
  <si>
    <t>746479999-20220228</t>
  </si>
  <si>
    <t>Nhan lai tu tai khoan 746479999-20220228</t>
  </si>
  <si>
    <t>01/03/2022 00:49</t>
  </si>
  <si>
    <t>FT22059090994396\KBB</t>
  </si>
  <si>
    <t>KA thanh toan Hop dong so 20210409- 1956485 va CCCD-CMND 201770170</t>
  </si>
  <si>
    <t>28/02/2022 17:04</t>
  </si>
  <si>
    <t>FT22059991242377\KBB</t>
  </si>
  <si>
    <t>KA thanh toan Hop dong so 20211125- 7965472 va CCCD-CMND 205308396</t>
  </si>
  <si>
    <t>FT22059708334326\KBB</t>
  </si>
  <si>
    <t>KA thanh toan Hop dong so 20210629- 6931618 va CCCD-CMND 079164005121</t>
  </si>
  <si>
    <t>FT22059708332544\KBB</t>
  </si>
  <si>
    <t>KA thanh toan Hop dong so 20210622- 3981033 va CCCD-CMND 079178002267</t>
  </si>
  <si>
    <t>FT22059368700309</t>
  </si>
  <si>
    <t>NHAN TU 04301010058947 TRACE 125969 ND chuyen khoan</t>
  </si>
  <si>
    <t>25/02/2022</t>
  </si>
  <si>
    <t>FT22056410347805\KBB</t>
  </si>
  <si>
    <t>KA thanh toan Hop dong so 20220217- 4908375 va CCCD-CMND 201602924</t>
  </si>
  <si>
    <t>25/02/2022 16:20</t>
  </si>
  <si>
    <t>FT22056529067452\KBB</t>
  </si>
  <si>
    <t>KA thanh toan Hop dong so 20210909- 9925280 va CCCD-CMND 049195011545</t>
  </si>
  <si>
    <t>FT22056601741809\KBB</t>
  </si>
  <si>
    <t>KA thanh toan Hop dong so 20210315- 8965161 va CCCD-CMND 023899716</t>
  </si>
  <si>
    <t>FT22056760394907\KBB</t>
  </si>
  <si>
    <t>KA thanh toan Hop dong so 20211206- 5901568 va CCCD-CMND 023065966</t>
  </si>
  <si>
    <t>FT22056453502533\KBB</t>
  </si>
  <si>
    <t>KA thanh toan Hop dong so 20210612- 7912869 va CCCD-CMND 221217063</t>
  </si>
  <si>
    <t>FT22056447976093\KBB</t>
  </si>
  <si>
    <t>KA thanh toan Hop dong so 20200722- 3925099 va CCCD-CMND 023060572</t>
  </si>
  <si>
    <t>FT22056314925395</t>
  </si>
  <si>
    <t>NHAN TU 04301010058947 TRACE 170085 ND Chuyen khoan</t>
  </si>
  <si>
    <t>25/02/2022 15:40</t>
  </si>
  <si>
    <t>24/02/2022</t>
  </si>
  <si>
    <t>FT22055723209880\KBB</t>
  </si>
  <si>
    <t>KA thanh toan Hop dong so 20211220- 8966960 va CCCD-CMND 052088004723</t>
  </si>
  <si>
    <t>24/02/2022 16:31</t>
  </si>
  <si>
    <t>FT22055804586068\KBB</t>
  </si>
  <si>
    <t>KA thanh toan Hop dong so 20210522- 3965027 va CCCD-CMND 321036118</t>
  </si>
  <si>
    <t>FT22055486576477\KBB</t>
  </si>
  <si>
    <t>KA thanh toan Hop dong so 20211116- 6971797 va CCCD-CMND 272068954</t>
  </si>
  <si>
    <t>FT22055804585834\KBB</t>
  </si>
  <si>
    <t>KA thanh toan Hop dong so 20211220- 0965725 va CCCD-CMND 272669995</t>
  </si>
  <si>
    <t>FT22055723209212\KBB</t>
  </si>
  <si>
    <t>KA thanh toan Hop dong so 20210707- 7902799 va CCCD-CMND 024210850</t>
  </si>
  <si>
    <t>FT22055315880039\KBB</t>
  </si>
  <si>
    <t>KA thanh toan Hop dong so 20211212- 0975183 va CCCD-CMND 215131497</t>
  </si>
  <si>
    <t>FT22055723209070\KBB</t>
  </si>
  <si>
    <t>KA thanh toan Hop dong so 20220218- 9914349 va CCCD-CMND 054087005084</t>
  </si>
  <si>
    <t>FT22055628158409\KBB</t>
  </si>
  <si>
    <t>KA thanh toan Hop dong so 20210617- 2948646 va CCCD-CMND 362375504</t>
  </si>
  <si>
    <t>FT22055723208817\KBB</t>
  </si>
  <si>
    <t>KA thanh toan Hop dong so 20211201- 5943013 va CCCD-CMND 241479157</t>
  </si>
  <si>
    <t>24/02/2022 16:30</t>
  </si>
  <si>
    <t>FT22055804585005\KBB</t>
  </si>
  <si>
    <t>KA thanh toan Hop dong so 20211222- 2992420 va CCCD-CMND 022696661</t>
  </si>
  <si>
    <t>FT22055019809210</t>
  </si>
  <si>
    <t>NHAN TU 19038147079018 TRACE 433757 ND Chuyen khoan</t>
  </si>
  <si>
    <t>24/02/2022 14:36</t>
  </si>
  <si>
    <t>23/02/2022</t>
  </si>
  <si>
    <t>FT22054049032414</t>
  </si>
  <si>
    <t>NHAN TU 060278564188 TRACE 797702 N D Chuyen khoan</t>
  </si>
  <si>
    <t>23/02/2022 16:18</t>
  </si>
  <si>
    <t>208524607-20220228</t>
  </si>
  <si>
    <t>Nhan lai tu tai khoan 208524607-20220228</t>
  </si>
  <si>
    <t>VPB KA.xls</t>
  </si>
  <si>
    <t>18/02/2022</t>
  </si>
  <si>
    <t>LD2122202370\RHM</t>
  </si>
  <si>
    <t>Thanh toan no goc-LD2122202370-NGUYEN THI THANH TUYEN</t>
  </si>
  <si>
    <t>18/02/2022 18:45</t>
  </si>
  <si>
    <t>Phi vi pham HDTD</t>
  </si>
  <si>
    <t>Thanh toan lai-LD2122202370-NGUYEN THI THANH TUYEN</t>
  </si>
  <si>
    <t>PDLD2122202370;16\RHM</t>
  </si>
  <si>
    <t>Thanh toan goc qua han-PDLD2122202370-NGUYEN THI THANH TUYEN</t>
  </si>
  <si>
    <t>18/02/2022 17:47</t>
  </si>
  <si>
    <t>Thanh toan lai qua han-PDLD2122202370-NGUYEN THI THANH TUYEN</t>
  </si>
  <si>
    <t>Thanh toan lai-PDLD2122202370-NGUYEN THI THANH TUYEN</t>
  </si>
  <si>
    <t>Thanh toan lai phat qua han-PDLD2122202370-NGUYEN THI THANH TUYEN</t>
  </si>
  <si>
    <t>FT22049348438327</t>
  </si>
  <si>
    <t>NHAN TU 04101010024937 TRACE 179555 ND chuyen khoan</t>
  </si>
  <si>
    <t>18/02/2022 10:54</t>
  </si>
  <si>
    <t>740849999-20220228</t>
  </si>
  <si>
    <t>Nhan lai tu tai khoan 740849999-20220228</t>
  </si>
  <si>
    <t>VPB KSG.xls</t>
  </si>
  <si>
    <t>FT22054849403698\KBB</t>
  </si>
  <si>
    <t>KA thanh toan Hop dong so 20210517- 2923989 va CCCD-CMND 079093001930</t>
  </si>
  <si>
    <t>23/02/2022 16:22</t>
  </si>
  <si>
    <t>FT22054430093890\KBB</t>
  </si>
  <si>
    <t>KA thanh toan Hop dong so 20211111- 2917510 va CCCD-CMND 351841719</t>
  </si>
  <si>
    <t>FT22054180742980\KBB</t>
  </si>
  <si>
    <t>KA thanh toan Hop dong so 20210527- 1901039 va CCCD-CMND 079185007378</t>
  </si>
  <si>
    <t>FT22054810903334\KBB</t>
  </si>
  <si>
    <t>KA thanh toan Hop dong so 20210518- 0932814 va CCCD-CMND 201205071</t>
  </si>
  <si>
    <t>FT22054262660082\KBB</t>
  </si>
  <si>
    <t>KA thanh toan Hop dong so 20211115- 4958579 va CCCD-CMND 079168001426</t>
  </si>
  <si>
    <t>FT22054262659999\KBB</t>
  </si>
  <si>
    <t>KA thanh toan Hop dong so 20211111- 2910948 va CCCD-CMND 092076004607</t>
  </si>
  <si>
    <t>FT22054262659908\KBB</t>
  </si>
  <si>
    <t>KA thanh toan Hop dong so 20201206- 9992655 va CCCD-CMND 070754025</t>
  </si>
  <si>
    <t>FT22054810902605\KBB</t>
  </si>
  <si>
    <t>KA thanh toan Hop dong so 20211222- 9990023 va CCCD-CMND 084173002282</t>
  </si>
  <si>
    <t>FT22054180742089\KBB</t>
  </si>
  <si>
    <t>KA thanh toan Hop dong so 20211111- 3911623 va CCCD-CMND 225406628</t>
  </si>
  <si>
    <t>23/02/2022 16:21</t>
  </si>
  <si>
    <t>FT22054671831562\KBB</t>
  </si>
  <si>
    <t>KA thanh toan Hop dong so 20210427- 9966383 va CCCD-CMND 077179001740</t>
  </si>
  <si>
    <t>FT22054810902281\KBB</t>
  </si>
  <si>
    <t>KA thanh toan Hop dong so 20211111- 9915106 va CCCD-CMND 079185015809</t>
  </si>
  <si>
    <t>FT22054262659089\KBB</t>
  </si>
  <si>
    <t>KA thanh toan Hop dong so 20211123- 9949175 va CCCD-CMND 183763174</t>
  </si>
  <si>
    <t>FT22054262659008\KBB</t>
  </si>
  <si>
    <t>KA thanh toan Hop dong so 20211111- 7911186 va CCCD-CMND 001187054323</t>
  </si>
  <si>
    <t>FT22054810901967\KBB</t>
  </si>
  <si>
    <t>KA thanh toan Hop dong so 20210526- 9991507 va CCCD-CMND 352512088</t>
  </si>
  <si>
    <t>FT22054262658855\KBB</t>
  </si>
  <si>
    <t>KA thanh toan Hop dong so 20210528- 8911207 va CCCD-CMND 312545847</t>
  </si>
  <si>
    <t>FT22054092805604\KBB</t>
  </si>
  <si>
    <t>KA thanh toan Hop dong so 20210629- 9929667 va CCCD-CMND 351341231</t>
  </si>
  <si>
    <t>FT22054262658602\KBB</t>
  </si>
  <si>
    <t>KA thanh toan Hop dong so 20210619- 0961461 va CCCD-CMND 365039490</t>
  </si>
  <si>
    <t>FT22054810901471\KBB</t>
  </si>
  <si>
    <t>KA thanh toan Hop dong so 20211029- 9961394 va CCCD-CMND 051176013886</t>
  </si>
  <si>
    <t>FT22054262658360\KBB</t>
  </si>
  <si>
    <t>KA thanh toan Hop dong so 20211028- 4946380 va CCCD-CMND 093181003171</t>
  </si>
  <si>
    <t>FT22054981008610\KBB</t>
  </si>
  <si>
    <t>KA thanh toan Hop dong so 20211005- 3962250 va CCCD-CMND 070183001323</t>
  </si>
  <si>
    <t>FT22054810901219\KBB</t>
  </si>
  <si>
    <t>KA thanh toan Hop dong so 20211111- 8914728 va CCCD-CMND 261548445</t>
  </si>
  <si>
    <t>FT22054981008287\KBB</t>
  </si>
  <si>
    <t>KA thanh toan Hop dong so 20211113- 3936365 va CCCD-CMND 280752268</t>
  </si>
  <si>
    <t>FT22054810900904\KBB</t>
  </si>
  <si>
    <t>KA thanh toan Hop dong so 20211023- 5983242 va CCCD-CMND 321364573</t>
  </si>
  <si>
    <t>FT22054439857016\KBB</t>
  </si>
  <si>
    <t>KA thanh toan Hop dong so 20211116- 4967365 va CCCD-CMND 079071003079</t>
  </si>
  <si>
    <t>FT22054658712562\KBB</t>
  </si>
  <si>
    <t>KA thanh toan Hop dong so 20211118- 9989759 va CCCD-CMND 058183001180</t>
  </si>
  <si>
    <t>FT22054180740037\KBB</t>
  </si>
  <si>
    <t>KA thanh toan Hop dong so 20211111- 2911662 va CCCD-CMND 340546897</t>
  </si>
  <si>
    <t>FT22054981007800\KBB</t>
  </si>
  <si>
    <t>KA thanh toan Hop dong so 20211029- 8959866 va CCCD-CMND 285046579</t>
  </si>
  <si>
    <t>FT22054262657307\KBB</t>
  </si>
  <si>
    <t>KA thanh toan Hop dong so 20211115- 6965292 va CCCD-CMND 077180001014</t>
  </si>
  <si>
    <t>FT22054810900166\KBB</t>
  </si>
  <si>
    <t>KA thanh toan Hop dong so 20210429- 0984551 va CCCD-CMND 080070000039</t>
  </si>
  <si>
    <t>FT22054262657073\KBB</t>
  </si>
  <si>
    <t>KA thanh toan Hop dong so 20211111- 3912941 va CCCD-CMND 205566329</t>
  </si>
  <si>
    <t>FT22054262656659\KBB</t>
  </si>
  <si>
    <t>KA thanh toan Hop dong so 20210622- 2980518 va CCCD-CMND 220744330</t>
  </si>
  <si>
    <t>FT22054810900518\KBB</t>
  </si>
  <si>
    <t>KA thanh toan Hop dong so 20211111- 4915705 va CCCD-CMND 331497868</t>
  </si>
  <si>
    <t>FT22054587655042\KBB</t>
  </si>
  <si>
    <t>KA thanh toan Hop dong so 20211115- 3959430 va CCCD-CMND 221170561</t>
  </si>
  <si>
    <t>FT22054981006333\KBB</t>
  </si>
  <si>
    <t>KA thanh toan Hop dong so 20210518- 3932705 va CCCD-CMND 031180007772</t>
  </si>
  <si>
    <t>FT22054362774708\KBB</t>
  </si>
  <si>
    <t>KA thanh toan Hop dong so 20211009- 5952064 va CCCD-CMND 331745835</t>
  </si>
  <si>
    <t>FT22054439855000\KBB</t>
  </si>
  <si>
    <t>KA thanh toan Hop dong so 20211123- 5946215 va CCCD-CMND 311567115</t>
  </si>
  <si>
    <t>FT22054321789820\KBB</t>
  </si>
  <si>
    <t>KA thanh toan Hop dong so 20220106- 8961876 va CCCD-CMND 079179004114</t>
  </si>
  <si>
    <t>FT22054439854758\KBB</t>
  </si>
  <si>
    <t>KA thanh toan Hop dong so 20211111- 3912323 va CCCD-CMND 361202562</t>
  </si>
  <si>
    <t>FT22054810909303\KBB</t>
  </si>
  <si>
    <t>KA thanh toan Hop dong so 20211111- 9916028 va CCCD-CMND 062175003604</t>
  </si>
  <si>
    <t>FT22054981005442\KBB</t>
  </si>
  <si>
    <t>KA thanh toan Hop dong so 20211029- 1962221 va CCCD-CMND 205210574</t>
  </si>
  <si>
    <t>FT22054321789164\KBB</t>
  </si>
  <si>
    <t>KA thanh toan Hop dong so 20210524- 0976390 va CCCD-CMND 264310958</t>
  </si>
  <si>
    <t>23/02/2022 16:20</t>
  </si>
  <si>
    <t>FT22054671828008\KBB</t>
  </si>
  <si>
    <t>KA thanh toan Hop dong so 20211222- 2988676 va CCCD-CMND 362282820</t>
  </si>
  <si>
    <t>FT22054262654708\KBB</t>
  </si>
  <si>
    <t>KA thanh toan Hop dong so 20211030- 3970459 va CCCD-CMND 273086387</t>
  </si>
  <si>
    <t>FT22054587653341\KBB</t>
  </si>
  <si>
    <t>KA thanh toan Hop dong so 20210323- 5926010 va CCCD-CMND 240389117</t>
  </si>
  <si>
    <t>FT22054966374132\KBB</t>
  </si>
  <si>
    <t>KA thanh toan Hop dong so 20211030- 9967743 va CCCD-CMND 205372283</t>
  </si>
  <si>
    <t>FT22054587653008\KBB</t>
  </si>
  <si>
    <t>KA thanh toan Hop dong so 20210305- 7992413 va CCCD-CMND 042188000255</t>
  </si>
  <si>
    <t>FT22054981004390\KBB</t>
  </si>
  <si>
    <t>KA thanh toan Hop dong so 20211124- 3961851 va CCCD-CMND 077167000595</t>
  </si>
  <si>
    <t>FT22054810908007\KBB</t>
  </si>
  <si>
    <t>KA thanh toan Hop dong so 20201210- 0938631 va CCCD-CMND 079062003569</t>
  </si>
  <si>
    <t>FT22054092712731</t>
  </si>
  <si>
    <t>NHAN TU 04101010024937 TRACE 172604 ND Chuyen khoan</t>
  </si>
  <si>
    <t>23/02/2022 15:59</t>
  </si>
  <si>
    <t>22/02/2022</t>
  </si>
  <si>
    <t>FT22053663898954\KBB</t>
  </si>
  <si>
    <t>KHONG RUT - THANH TOAN GOC LAI PHI PHAT HD LD2128200898</t>
  </si>
  <si>
    <t>22/02/2022 18:00</t>
  </si>
  <si>
    <t>FT22053001819232\KBB</t>
  </si>
  <si>
    <t>KHONG RUT - THANH TOAN GOC LAI PHI PHAT HD LD2128202248</t>
  </si>
  <si>
    <t>FT22053663898620\KBB</t>
  </si>
  <si>
    <t>KHONG RUT - THANH TOAN GOC LAI PHI PHAT HD LD2114600591</t>
  </si>
  <si>
    <t>FT22053001819090\KBB</t>
  </si>
  <si>
    <t>KHONG RUT - THANH TOAN GOC LAI PHI PHAT HD LD2114401111</t>
  </si>
  <si>
    <t>FT22053940933989\KBB</t>
  </si>
  <si>
    <t>KHONG RUT - THANH TOAN GOC LAI PHI PHAT HD LD2123002022</t>
  </si>
  <si>
    <t>FT22053001818756\KBB</t>
  </si>
  <si>
    <t>KHONG RUT - THANH TOAN GOC LAI PHI PHAT HD LD2114601348</t>
  </si>
  <si>
    <t>FT22053001818594\KBB</t>
  </si>
  <si>
    <t>KHONG RUT - THANH TOAN GOC LAI PHI PHAT HD LD2117401504</t>
  </si>
  <si>
    <t>FT22053663898063\KBB</t>
  </si>
  <si>
    <t>KHONG RUT - THANH TOAN GOC LAI PHI PHAT HD LD2117600137</t>
  </si>
  <si>
    <t>FT22053663897982\KBB</t>
  </si>
  <si>
    <t>KHONG RUT - THANH TOAN GOC LAI PHI PHAT HD LD2123001908</t>
  </si>
  <si>
    <t>FT22053801349967\KBB</t>
  </si>
  <si>
    <t>KHONG RUT - THANH TOAN GOC LAI PHI PHAT HD LD2118301377</t>
  </si>
  <si>
    <t>FT22053001408797\KBB</t>
  </si>
  <si>
    <t>KA thanh toan Hop dong so 20211112- 5922190 va CCCD-CMND 025783310</t>
  </si>
  <si>
    <t>22/02/2022 16:10</t>
  </si>
  <si>
    <t>FT22053479040384\KBB</t>
  </si>
  <si>
    <t>KA thanh toan Hop dong so 20210427- 6967932 va CCCD-CMND 068074000060</t>
  </si>
  <si>
    <t>FT22053479040303\KBB</t>
  </si>
  <si>
    <t>KA thanh toan Hop dong so 20211113- 9933047 va CCCD-CMND 201800718</t>
  </si>
  <si>
    <t>FT22053874004955\KBB</t>
  </si>
  <si>
    <t>KA thanh toan Hop dong so 20211123- 9942497 va CCCD-CMND 092301004150</t>
  </si>
  <si>
    <t>FT22053874004874\KBB</t>
  </si>
  <si>
    <t>KA thanh toan Hop dong so 20210925- 4906060 va CCCD-CMND 312307653</t>
  </si>
  <si>
    <t>FT22053750706863\KBB</t>
  </si>
  <si>
    <t>KA thanh toan Hop dong so 20211221- 0978069 va CCCD-CMND 241092860</t>
  </si>
  <si>
    <t>FT22053874004540\KBB</t>
  </si>
  <si>
    <t>KA thanh toan Hop dong so 20211117- 9980245 va CCCD-CMND 362139851</t>
  </si>
  <si>
    <t>FT22053479040736\KBB</t>
  </si>
  <si>
    <t>KA thanh toan Hop dong so 20211127- 7993534 va CCCD-CMND 331823616</t>
  </si>
  <si>
    <t>FT22053479040655\KBB</t>
  </si>
  <si>
    <t>KA thanh toan Hop dong so 20210115- 8908122 va CCCD-CMND 341450549</t>
  </si>
  <si>
    <t>FT22053663487194\KBB</t>
  </si>
  <si>
    <t>KA thanh toan Hop dong so 20210716- 8977190 va CCCD-CMND 074073000451</t>
  </si>
  <si>
    <t>FT22053001407653\KBB</t>
  </si>
  <si>
    <t>KA thanh toan Hop dong so 20211224- 8913977 va CCCD-CMND 341983721</t>
  </si>
  <si>
    <t>FT22053874004064\KBB</t>
  </si>
  <si>
    <t>KA thanh toan Hop dong so 20211129- 0915319 va CCCD-CMND 271806973</t>
  </si>
  <si>
    <t>FT22053750706053\KBB</t>
  </si>
  <si>
    <t>KA thanh toan Hop dong so 20210529- 1914112 va CCCD-CMND 341174752</t>
  </si>
  <si>
    <t>FT22053776690824</t>
  </si>
  <si>
    <t>NHAN TU 04101010024937 TRACE 174277 ND chuyen khoan</t>
  </si>
  <si>
    <t>22/02/2022 16:02</t>
  </si>
  <si>
    <t>21/02/2022</t>
  </si>
  <si>
    <t>FT22052000183070\KBB</t>
  </si>
  <si>
    <t>21/02/2022 17:39</t>
  </si>
  <si>
    <t>FT22052355752059\KBB</t>
  </si>
  <si>
    <t>21/02/2022 16:41</t>
  </si>
  <si>
    <t>FT22052172130443\KBB</t>
  </si>
  <si>
    <t>FT22052508003295\KBB</t>
  </si>
  <si>
    <t>FT22052021861058\KBB</t>
  </si>
  <si>
    <t>FT22052460695830\KBB</t>
  </si>
  <si>
    <t>FT22052184735069\KBB</t>
  </si>
  <si>
    <t>KA thanh toan Hop dong so 20211126- 4976937 va CCCD-CMND 241836568</t>
  </si>
  <si>
    <t>FT22052355751249\KBB</t>
  </si>
  <si>
    <t>FT22052460695334\KBB</t>
  </si>
  <si>
    <t>FT22052055691446\KBB</t>
  </si>
  <si>
    <t>KA thanh toan Hop dong so 20211122- 3932228 va CCCD-CMND 260973565</t>
  </si>
  <si>
    <t>FT22052460695000\KBB</t>
  </si>
  <si>
    <t>KA thanh toan Hop dong so 20210412- 2978046 va CCCD-CMND 079083015302</t>
  </si>
  <si>
    <t>FT22052130604375\KBB</t>
  </si>
  <si>
    <t>FT22052224927345\KBB</t>
  </si>
  <si>
    <t>FT22052460694696\KBB</t>
  </si>
  <si>
    <t>KA thanh toan Hop dong so 20210727- 6939288 va CCCD-CMND 025797132</t>
  </si>
  <si>
    <t>21/02/2022 16:40</t>
  </si>
  <si>
    <t>FT22052355750358\KBB</t>
  </si>
  <si>
    <t>KA thanh toan Hop dong so 20210928- 4952743 va CCCD-CMND 261091029</t>
  </si>
  <si>
    <t>FT22052140205794</t>
  </si>
  <si>
    <t>NHAN TU 04101010024937 TRACE 169903 ND chuyen khoan</t>
  </si>
  <si>
    <t>21/02/2022 16:13</t>
  </si>
  <si>
    <t>FT22049357283437\KBB</t>
  </si>
  <si>
    <t>18/02/2022 16:42</t>
  </si>
  <si>
    <t>FT22049657315825\KBB</t>
  </si>
  <si>
    <t>KA thanh toan Hop dong so 20210304- 8983725 va CCCD-CMND 380884049</t>
  </si>
  <si>
    <t>FT22049892755191\KBB</t>
  </si>
  <si>
    <t>KA thanh toan Hop dong so 20211022- 8968001 va CCCD-CMND 320868046</t>
  </si>
  <si>
    <t>FT22049892755100\KBB</t>
  </si>
  <si>
    <t>KA thanh toan Hop dong so 20211115- 9959076 va CCCD-CMND 079096000896</t>
  </si>
  <si>
    <t>FT22049892755017\KBB</t>
  </si>
  <si>
    <t>KA thanh toan Hop dong so 20211028- 4947943 va CCCD-CMND 370475379</t>
  </si>
  <si>
    <t>FT22049291739778\KBB</t>
  </si>
  <si>
    <t>FT22049909822409\KBB</t>
  </si>
  <si>
    <t>KA thanh toan Hop dong so 20210908- 6907990 va CCCD-CMND 264509625</t>
  </si>
  <si>
    <t>FT22049581602196\KBB</t>
  </si>
  <si>
    <t>KA thanh toan Hop dong so 20211110- 2902883 va CCCD-CMND 093168009438</t>
  </si>
  <si>
    <t>FT22049444427113\KBB</t>
  </si>
  <si>
    <t>KA thanh toan Hop dong so 20211027- 9937094 va CCCD-CMND 361634217</t>
  </si>
  <si>
    <t>FT22049986137305\KBB</t>
  </si>
  <si>
    <t>KA thanh toan Hop dong so 20211007- 1903314 va CCCD-CMND 201420765</t>
  </si>
  <si>
    <t>FT22049892754460\KBB</t>
  </si>
  <si>
    <t>KA thanh toan Hop dong so 20211030- 4968660 va CCCD-CMND 312377027</t>
  </si>
  <si>
    <t>FT22049892754379\KBB</t>
  </si>
  <si>
    <t>KA thanh toan Hop dong so 20211211- 8955928 va CCCD-CMND 025151033</t>
  </si>
  <si>
    <t>FT22049892754298\KBB</t>
  </si>
  <si>
    <t>KA thanh toan Hop dong so 20210505- 4921292 va CCCD-CMND 079185006554</t>
  </si>
  <si>
    <t>18/02/2022 16:41</t>
  </si>
  <si>
    <t>FT22049934072231\KBB</t>
  </si>
  <si>
    <t>KA thanh toan Hop dong so 20211021- 3956813 va CCCD-CMND 025791353</t>
  </si>
  <si>
    <t>FT22049291738968\KBB</t>
  </si>
  <si>
    <t>KA thanh toan Hop dong so 20211029- 1957807 va CCCD-CMND 025198515</t>
  </si>
  <si>
    <t>FT22049657314440\KBB</t>
  </si>
  <si>
    <t>KA thanh toan Hop dong so 20211029- 3958499 va CCCD-CMND 321041973</t>
  </si>
  <si>
    <t>FT22049291738715\KBB</t>
  </si>
  <si>
    <t>KA thanh toan Hop dong so 20211022- 7972955 va CCCD-CMND 312186012</t>
  </si>
  <si>
    <t>FT22049737873827\KBB</t>
  </si>
  <si>
    <t>KA thanh toan Hop dong so 20211119- 3905754 va CCCD-CMND 046172015226</t>
  </si>
  <si>
    <t>FT22049291738472\KBB</t>
  </si>
  <si>
    <t>KA thanh toan Hop dong so 20211108- 6984798 va CCCD-CMND 087188000879</t>
  </si>
  <si>
    <t>FT22049025133029\KBB</t>
  </si>
  <si>
    <t>KA thanh toan Hop dong so 20211021- 1959571 va CCCD-CMND 311417583</t>
  </si>
  <si>
    <t>FT22049892753488\KBB</t>
  </si>
  <si>
    <t>FT22049357281321\KBB</t>
  </si>
  <si>
    <t>FT22049291738058\KBB</t>
  </si>
  <si>
    <t>KA thanh toan Hop dong so 20211112- 8925006 va CCCD-CMND 072092001680</t>
  </si>
  <si>
    <t>FT22049934071179\KBB</t>
  </si>
  <si>
    <t>FT22049892753073\KBB</t>
  </si>
  <si>
    <t>KA thanh toan Hop dong so 20211109- 6992792 va CCCD-CMND 341701112</t>
  </si>
  <si>
    <t>FT22049892753001\KBB</t>
  </si>
  <si>
    <t>KA thanh toan Hop dong so 20211023- 1989743 va CCCD-CMND 064185002873</t>
  </si>
  <si>
    <t>FT22049892752759\KBB</t>
  </si>
  <si>
    <t>KA thanh toan Hop dong so 20211110- 2904061 va CCCD-CMND 260854114</t>
  </si>
  <si>
    <t>FT22049444425089\KBB</t>
  </si>
  <si>
    <t>KA thanh toan Hop dong so 20211115- 1960971 va CCCD-CMND 079175013657</t>
  </si>
  <si>
    <t>FT22049892752600\KBB</t>
  </si>
  <si>
    <t>KA thanh toan Hop dong so 20211023- 2980190 va CCCD-CMND 312079143</t>
  </si>
  <si>
    <t>FT22049892752506\KBB</t>
  </si>
  <si>
    <t>KA thanh toan Hop dong so 20211109- 1990533 va CCCD-CMND 230916253</t>
  </si>
  <si>
    <t>FT22049291737167\KBB</t>
  </si>
  <si>
    <t>FT22049934070288\KBB</t>
  </si>
  <si>
    <t>KA thanh toan Hop dong so 20211119- 6900268 va CCCD-CMND 025587215</t>
  </si>
  <si>
    <t>FT22049444424693\KBB</t>
  </si>
  <si>
    <t>FT22049892752101\KBB</t>
  </si>
  <si>
    <t>KA thanh toan Hop dong so 20210930- 2979600 va CCCD-CMND 024122472</t>
  </si>
  <si>
    <t>FT22049025131579\KBB</t>
  </si>
  <si>
    <t>KA thanh toan Hop dong so 20211108- 2985188 va CCCD-CMND 363996154</t>
  </si>
  <si>
    <t>FT22049737871964\KBB</t>
  </si>
  <si>
    <t>KA thanh toan Hop dong so 20211030- 1972172 va CCCD-CMND 311839190</t>
  </si>
  <si>
    <t>FT22049892751868\KBB</t>
  </si>
  <si>
    <t>KA thanh toan Hop dong so 20211029- 4963652 va CCCD-CMND 079179008409</t>
  </si>
  <si>
    <t>FT22049737871802\KBB</t>
  </si>
  <si>
    <t>KA thanh toan Hop dong so 20211109- 5991208 va CCCD-CMND 371309881</t>
  </si>
  <si>
    <t>FT22049986134470\KBB</t>
  </si>
  <si>
    <t>FT22049025131083\KBB</t>
  </si>
  <si>
    <t>KA thanh toan Hop dong so 20211125- 7970476 va CCCD-CMND 341151283</t>
  </si>
  <si>
    <t>FT22049892751453\KBB</t>
  </si>
  <si>
    <t>KA thanh toan Hop dong so 20220121- 7961746 va CCCD-CMND 331450026</t>
  </si>
  <si>
    <t>FT22049737871388\KBB</t>
  </si>
  <si>
    <t>KA thanh toan Hop dong so 20211110- 9998209 va CCCD-CMND 321571269</t>
  </si>
  <si>
    <t>FT22049291736104\KBB</t>
  </si>
  <si>
    <t>KA thanh toan Hop dong so 20211111- 6915147 va CCCD-CMND 301190128</t>
  </si>
  <si>
    <t>FT22049909819835\KBB</t>
  </si>
  <si>
    <t>KA thanh toan Hop dong so 20210409- 4957120 va CCCD-CMND 290936103</t>
  </si>
  <si>
    <t>FT22049892751039\KBB</t>
  </si>
  <si>
    <t>KA thanh toan Hop dong so 20211113- 9934099 va CCCD-CMND 215433270</t>
  </si>
  <si>
    <t>FT22049737871073\KBB</t>
  </si>
  <si>
    <t>KA thanh toan Hop dong so 20210507- 4945807 va CCCD-CMND 201602924</t>
  </si>
  <si>
    <t>FT22049291735800\KBB</t>
  </si>
  <si>
    <t>KA thanh toan Hop dong so 20211112- 1925836 va CCCD-CMND 301480626</t>
  </si>
  <si>
    <t>FT22049892750805\KBB</t>
  </si>
  <si>
    <t>KA thanh toan Hop dong so 20211111- 5910464 va CCCD-CMND 064096011468</t>
  </si>
  <si>
    <t>FT22049892750724\KBB</t>
  </si>
  <si>
    <t>KA thanh toan Hop dong so 20211112- 6926265 va CCCD-CMND 079082018136</t>
  </si>
  <si>
    <t>FT22049291735385\KBB</t>
  </si>
  <si>
    <t>KA thanh toan Hop dong so 20211112- 1925874 va CCCD-CMND 330954068</t>
  </si>
  <si>
    <t>FT22049892750400\KBB</t>
  </si>
  <si>
    <t>KA thanh toan Hop dong so 20211221- 8984963 va CCCD-CMND 334895701</t>
  </si>
  <si>
    <t>FT22049291735051\KBB</t>
  </si>
  <si>
    <t>KA thanh toan Hop dong so 20211113- 7935586 va CCCD-CMND 362042857</t>
  </si>
  <si>
    <t>FT22049737870082\KBB</t>
  </si>
  <si>
    <t>FT22049892750005\KBB</t>
  </si>
  <si>
    <t>KA thanh toan Hop dong so 20210511- 7974661 va CCCD-CMND 022673271</t>
  </si>
  <si>
    <t>FT22049291734494\KBB</t>
  </si>
  <si>
    <t>KA thanh toan Hop dong so 20211029- 5959692 va CCCD-CMND 312238640</t>
  </si>
  <si>
    <t>18/02/2022 16:40</t>
  </si>
  <si>
    <t>FT22049737870515\KBB</t>
  </si>
  <si>
    <t>KA thanh toan Hop dong so 20211030- 1969554 va CCCD-CMND 205013787</t>
  </si>
  <si>
    <t>FT22049986132193\KBB</t>
  </si>
  <si>
    <t>KA thanh toan Hop dong so 20211028- 2947914 va CCCD-CMND 087183000982</t>
  </si>
  <si>
    <t>FT22049657310735\KBB</t>
  </si>
  <si>
    <t>KA thanh toan Hop dong so 20210926- 1924592 va CCCD-CMND 211736326</t>
  </si>
  <si>
    <t>FT22049934068200\KBB</t>
  </si>
  <si>
    <t>KA thanh toan Hop dong so 20211109- 2990075 va CCCD-CMND 320970535</t>
  </si>
  <si>
    <t>FT22049444421515\KBB</t>
  </si>
  <si>
    <t>KA thanh toan Hop dong so 20211027- 0937222 va CCCD-CMND 077178000380</t>
  </si>
  <si>
    <t>FT22049737869958\KBB</t>
  </si>
  <si>
    <t>KA thanh toan Hop dong so 20211028- 2949338 va CCCD-CMND 079097010752</t>
  </si>
  <si>
    <t>FT22049892749780\KBB</t>
  </si>
  <si>
    <t>KA thanh toan Hop dong so 20211108- 4984097 va CCCD-CMND 079083003550</t>
  </si>
  <si>
    <t>FT22049416002481</t>
  </si>
  <si>
    <t>NHAN TU 04101010024937 TRACE 195013 ND Chuyen khoan</t>
  </si>
  <si>
    <t>18/02/2022 16:17</t>
  </si>
  <si>
    <t>17/02/2022</t>
  </si>
  <si>
    <t>FT22048409922692\KBB</t>
  </si>
  <si>
    <t>KA thanh toan Hop dong so 20211103- 5921560 va CCCD-CMND 201759743</t>
  </si>
  <si>
    <t>17/02/2022 16:35</t>
  </si>
  <si>
    <t>FT22048100082901\KBB</t>
  </si>
  <si>
    <t>KA thanh toan Hop dong so 20211023- 1983529 va CCCD-CMND 342057415</t>
  </si>
  <si>
    <t>17/02/2022 16:34</t>
  </si>
  <si>
    <t>FT22048985035368\KBB</t>
  </si>
  <si>
    <t>FT22048420097039\KBB</t>
  </si>
  <si>
    <t>KA thanh toan Hop dong so 20211022- 9973226 va CCCD-CMND 225519296</t>
  </si>
  <si>
    <t>FT22048708206661\KBB</t>
  </si>
  <si>
    <t>KA thanh toan Hop dong so 20211105- 8946490 va CCCD-CMND 023840118</t>
  </si>
  <si>
    <t>FT22048832924317\KBB</t>
  </si>
  <si>
    <t>KA thanh toan Hop dong so 20211104- 3932826 va CCCD-CMND 312159144</t>
  </si>
  <si>
    <t>FT22048420094842\KBB</t>
  </si>
  <si>
    <t>FT22048100080069\KBB</t>
  </si>
  <si>
    <t>FT22048061517633\KBB</t>
  </si>
  <si>
    <t>FT22048210422054\KBB</t>
  </si>
  <si>
    <t>KA thanh toan Hop dong so 20211027- 9932952 va CCCD-CMND 077172001903</t>
  </si>
  <si>
    <t>FT22048420092403\KBB</t>
  </si>
  <si>
    <t>KA thanh toan Hop dong so 20211023- 5985130 va CCCD-CMND 281352197</t>
  </si>
  <si>
    <t>FT22048802190205\KBB</t>
  </si>
  <si>
    <t>KA thanh toan Hop dong so 20211023- 7984438 va CCCD-CMND 087164000154</t>
  </si>
  <si>
    <t>17/02/2022 16:33</t>
  </si>
  <si>
    <t>FT22048420091098\KBB</t>
  </si>
  <si>
    <t>FT22048802189009\KBB</t>
  </si>
  <si>
    <t>FT22048013828867\KBB</t>
  </si>
  <si>
    <t>KA thanh toan Hop dong so 20211021- 7957571 va CCCD-CMND 079085036839</t>
  </si>
  <si>
    <t>FT22048507207293\KBB</t>
  </si>
  <si>
    <t>KA thanh toan Hop dong so 20211103- 1922028 va CCCD-CMND 312138009</t>
  </si>
  <si>
    <t>17/02/2022 16:32</t>
  </si>
  <si>
    <t>FT22048013827066\KBB</t>
  </si>
  <si>
    <t>FT22048802186093\KBB</t>
  </si>
  <si>
    <t>KA thanh toan Hop dong so 20211022- 3974540 va CCCD-CMND 205372258</t>
  </si>
  <si>
    <t>FT22048420086580\KBB</t>
  </si>
  <si>
    <t>KA thanh toan Hop dong so 20211102- 9907639 va CCCD-CMND 082188001549</t>
  </si>
  <si>
    <t>FT22048045002931\KBB</t>
  </si>
  <si>
    <t>KA thanh toan Hop dong so 20211102- 1910385 va CCCD-CMND 079191006609</t>
  </si>
  <si>
    <t>FT22048039139086\KBB</t>
  </si>
  <si>
    <t>KA thanh toan Hop dong so 20211023- 5982382 va CCCD-CMND 281018128</t>
  </si>
  <si>
    <t>FT22048100070194\KBB</t>
  </si>
  <si>
    <t>KA thanh toan Hop dong so 20211104- 3932260 va CCCD-CMND 022598712</t>
  </si>
  <si>
    <t>FT22048985020554\KBB</t>
  </si>
  <si>
    <t>17/02/2022 16:31</t>
  </si>
  <si>
    <t>FT22048210409751\KBB</t>
  </si>
  <si>
    <t>FT22048420080234\KBB</t>
  </si>
  <si>
    <t>17/02/2022 16:30</t>
  </si>
  <si>
    <t>FT22048507200246\KBB</t>
  </si>
  <si>
    <t>FT22048420080758\KBB</t>
  </si>
  <si>
    <t>KA thanh toan Hop dong so 20210714- 6960943 va CCCD-CMND 186178872</t>
  </si>
  <si>
    <t>FT22048109139063\KBB</t>
  </si>
  <si>
    <t>FT22048420080010\KBB</t>
  </si>
  <si>
    <t>KA thanh toan Hop dong so 20211021- 6954045 va CCCD-CMND 311562574</t>
  </si>
  <si>
    <t>FT22048210379479</t>
  </si>
  <si>
    <t>NHAN TU 04101010024937 TRACE 187607 ND chuyen khoan</t>
  </si>
  <si>
    <t>17/02/2022 16:21</t>
  </si>
  <si>
    <t>16/02/2022</t>
  </si>
  <si>
    <t>FT22047559157701\KBB</t>
  </si>
  <si>
    <t>KA thanh toan Hop dong so 20211206- 0900788 va CCCD-CMND 021870725</t>
  </si>
  <si>
    <t>16/02/2022 16:50</t>
  </si>
  <si>
    <t>FT22047372490235\KBB</t>
  </si>
  <si>
    <t>KA thanh toan Hop dong so 20211014- 7952187 va CCCD-CMND 022451702</t>
  </si>
  <si>
    <t>16/02/2022 16:23</t>
  </si>
  <si>
    <t>FT22047680117658\KBB</t>
  </si>
  <si>
    <t>KA thanh toan Hop dong so 20211105- 3942206 va CCCD-CMND 191210970</t>
  </si>
  <si>
    <t>FT22047680117405\KBB</t>
  </si>
  <si>
    <t>KA thanh toan Hop dong so 20211021- 1955320 va CCCD-CMND 074190003215</t>
  </si>
  <si>
    <t>FT22047185215758\KBB</t>
  </si>
  <si>
    <t>KA thanh toan Hop dong so 20211102- 1907439 va CCCD-CMND 082075000166</t>
  </si>
  <si>
    <t>FT22047185215596\KBB</t>
  </si>
  <si>
    <t>FT22047680117000\KBB</t>
  </si>
  <si>
    <t>KA thanh toan Hop dong so 20211204- 9972139 va CCCD-CMND 334859232</t>
  </si>
  <si>
    <t>FT22047661930449\KBB</t>
  </si>
  <si>
    <t>KA thanh toan Hop dong so 20211103- 1924107 va CCCD-CMND 075180000849</t>
  </si>
  <si>
    <t>FT22047918789503\KBB</t>
  </si>
  <si>
    <t>KA thanh toan Hop dong so 20201203- 0963145 va CCCD-CMND 300915638</t>
  </si>
  <si>
    <t>FT22047903200209\KBB</t>
  </si>
  <si>
    <t>KA thanh toan Hop dong so 20211028- 0949200 va CCCD-CMND 086191004840</t>
  </si>
  <si>
    <t>FT22047334360350\KBB</t>
  </si>
  <si>
    <t>KA thanh toan Hop dong so 20211030- 6972443 va CCCD-CMND 024823200</t>
  </si>
  <si>
    <t>16/02/2022 16:22</t>
  </si>
  <si>
    <t>FT22047334360270\KBB</t>
  </si>
  <si>
    <t>KA thanh toan Hop dong so 20210422- 5938730 va CCCD-CMND 220966494</t>
  </si>
  <si>
    <t>FT22047680116352\KBB</t>
  </si>
  <si>
    <t>KA thanh toan Hop dong so 20210726- 6932723 va CCCD-CMND 300853439</t>
  </si>
  <si>
    <t>FT22047661929891\KBB</t>
  </si>
  <si>
    <t>KA thanh toan Hop dong so 20211029- 0958201 va CCCD-CMND 079171004054</t>
  </si>
  <si>
    <t>FT22047035559307\KBB</t>
  </si>
  <si>
    <t>KA thanh toan Hop dong so 20210625- 4902102 va CCCD-CMND 079189012076</t>
  </si>
  <si>
    <t>FT22047661929399\KBB</t>
  </si>
  <si>
    <t>FT22047661929305\KBB</t>
  </si>
  <si>
    <t>KA thanh toan Hop dong so 20211021- 9959429 va CCCD-CMND 371559801</t>
  </si>
  <si>
    <t>FT22047661929224\KBB</t>
  </si>
  <si>
    <t>FT22047903199075\KBB</t>
  </si>
  <si>
    <t>FT22047185213895\KBB</t>
  </si>
  <si>
    <t>KA thanh toan Hop dong so 20211023- 9984139 va CCCD-CMND 260575678</t>
  </si>
  <si>
    <t>FT22047680115300\KBB</t>
  </si>
  <si>
    <t>KA thanh toan Hop dong so 20210629- 9930519 va CCCD-CMND 280655998</t>
  </si>
  <si>
    <t>FT22047583807490\KBB</t>
  </si>
  <si>
    <t>KA thanh toan Hop dong so 20211029- 4957835 va CCCD-CMND 092173001297</t>
  </si>
  <si>
    <t>FT22047035558416\KBB</t>
  </si>
  <si>
    <t>KA thanh toan Hop dong so 20211021- 2958917 va CCCD-CMND 272083559</t>
  </si>
  <si>
    <t>FT22047903198508\KBB</t>
  </si>
  <si>
    <t>KA thanh toan Hop dong so 20211204- 7970793 va CCCD-CMND 092178000521</t>
  </si>
  <si>
    <t>FT22047661928414\KBB</t>
  </si>
  <si>
    <t>KA thanh toan Hop dong so 20210719- 7997875 va CCCD-CMND 025280371</t>
  </si>
  <si>
    <t>FT22047680114732\KBB</t>
  </si>
  <si>
    <t>KA thanh toan Hop dong so 20211104- 0929805 va CCCD-CMND 066191001275</t>
  </si>
  <si>
    <t>FT22047661928090\KBB</t>
  </si>
  <si>
    <t>KA thanh toan Hop dong so 20211022- 1972418 va CCCD-CMND 366377254</t>
  </si>
  <si>
    <t>FT22047680114409\KBB</t>
  </si>
  <si>
    <t>KA thanh toan Hop dong so 20211004- 5943913 va CCCD-CMND 092190004521</t>
  </si>
  <si>
    <t>FT22047035557697\KBB</t>
  </si>
  <si>
    <t>KA thanh toan Hop dong so 20210518- 5929956 va CCCD-CMND 201300783</t>
  </si>
  <si>
    <t>FT22047680114237\KBB</t>
  </si>
  <si>
    <t>KA thanh toan Hop dong so 20210706- 2989079 va CCCD-CMND 241714537</t>
  </si>
  <si>
    <t>FT22047903197708\KBB</t>
  </si>
  <si>
    <t>KA thanh toan Hop dong so 20210510- 9965156 va CCCD-CMND 340795679</t>
  </si>
  <si>
    <t>FT22047476049223\KBB</t>
  </si>
  <si>
    <t>KA thanh toan Hop dong so 20211207- 3911421 va CCCD-CMND 084187001320</t>
  </si>
  <si>
    <t>FT22047661927442\KBB</t>
  </si>
  <si>
    <t>KA thanh toan Hop dong so 20210527- 4903597 va CCCD-CMND 036182007065</t>
  </si>
  <si>
    <t>FT22047680113841\KBB</t>
  </si>
  <si>
    <t>KA thanh toan Hop dong so 20210630- 7938292 va CCCD-CMND 077186001297</t>
  </si>
  <si>
    <t>FT22047661927280\KBB</t>
  </si>
  <si>
    <t>KA thanh toan Hop dong so 20210322- 4913357 va CCCD-CMND 079300016852</t>
  </si>
  <si>
    <t>FT22047680113599\KBB</t>
  </si>
  <si>
    <t>KA thanh toan Hop dong so 20211023- 6984378 va CCCD-CMND 364019945</t>
  </si>
  <si>
    <t>FT22047185211941\KBB</t>
  </si>
  <si>
    <t>KA thanh toan Hop dong so 20211005- 1960692 va CCCD-CMND 083192001609</t>
  </si>
  <si>
    <t>FT22047903197060\KBB</t>
  </si>
  <si>
    <t>KA thanh toan Hop dong so 20211105- 0943800 va CCCD-CMND 206245823</t>
  </si>
  <si>
    <t>FT22047085190160\KBB</t>
  </si>
  <si>
    <t>KA thanh toan Hop dong so 20211028- 4950004 va CCCD-CMND 201748874</t>
  </si>
  <si>
    <t>FT22047476048413\KBB</t>
  </si>
  <si>
    <t>KA thanh toan Hop dong so 20211104- 1932316 va CCCD-CMND 079169012577</t>
  </si>
  <si>
    <t>FT22047017500515\KBB</t>
  </si>
  <si>
    <t>FT22047185211446\KBB</t>
  </si>
  <si>
    <t>KA thanh toan Hop dong so 20211104- 5935894 va CCCD-CMND 341783095</t>
  </si>
  <si>
    <t>FT22047476048170\KBB</t>
  </si>
  <si>
    <t>KA thanh toan Hop dong so 20211105- 1942154 va CCCD-CMND 320987434</t>
  </si>
  <si>
    <t>FT22047680112870\KBB</t>
  </si>
  <si>
    <t>KA thanh toan Hop dong so 20211022- 2969448 va CCCD-CMND 320911194</t>
  </si>
  <si>
    <t>FT22047372486205\KBB</t>
  </si>
  <si>
    <t>KA thanh toan Hop dong so 20210531- 2924979 va CCCD-CMND 201615925</t>
  </si>
  <si>
    <t>FT22047035555905\KBB</t>
  </si>
  <si>
    <t>KA thanh toan Hop dong so 20211103- 3919286 va CCCD-CMND 320601138</t>
  </si>
  <si>
    <t>FT22047185210889\KBB</t>
  </si>
  <si>
    <t>FT22047903195916\KBB</t>
  </si>
  <si>
    <t>KA thanh toan Hop dong so 20211103- 9923492 va CCCD-CMND 206446168</t>
  </si>
  <si>
    <t>232</t>
  </si>
  <si>
    <t>FT22047476047199\KBB</t>
  </si>
  <si>
    <t>KA thanh toan Hop dong so 20211022- 3965708 va CCCD-CMND 300751723</t>
  </si>
  <si>
    <t>233</t>
  </si>
  <si>
    <t>FT22047661925499\KBB</t>
  </si>
  <si>
    <t>KA thanh toan Hop dong so 20210604- 7961837 va CCCD-CMND 240703554</t>
  </si>
  <si>
    <t>16/02/2022 16:21</t>
  </si>
  <si>
    <t>234</t>
  </si>
  <si>
    <t>FT22047035555167\KBB</t>
  </si>
  <si>
    <t>KA thanh toan Hop dong so 20211104- 2932629 va CCCD-CMND 023770306</t>
  </si>
  <si>
    <t>235</t>
  </si>
  <si>
    <t>FT22047661925327\KBB</t>
  </si>
  <si>
    <t>KA thanh toan Hop dong so 20211021- 0958063 va CCCD-CMND 201015790</t>
  </si>
  <si>
    <t>236</t>
  </si>
  <si>
    <t>FT22047680111645\KBB</t>
  </si>
  <si>
    <t>KA thanh toan Hop dong so 20211207- 1912628 va CCCD-CMND 083087002391</t>
  </si>
  <si>
    <t>237</t>
  </si>
  <si>
    <t>FT22047334356229\KBB</t>
  </si>
  <si>
    <t>KA thanh toan Hop dong so 20210526- 1996135 va CCCD-CMND 340730026</t>
  </si>
  <si>
    <t>238</t>
  </si>
  <si>
    <t>FT22047680111402\KBB</t>
  </si>
  <si>
    <t>KA thanh toan Hop dong so 20211103- 8919045 va CCCD-CMND 251013814</t>
  </si>
  <si>
    <t>239</t>
  </si>
  <si>
    <t>FT22047680111311\KBB</t>
  </si>
  <si>
    <t>KA thanh toan Hop dong so 20211102- 0908031 va CCCD-CMND 201269820</t>
  </si>
  <si>
    <t>240</t>
  </si>
  <si>
    <t>FT22047185210583\KBB</t>
  </si>
  <si>
    <t>KA thanh toan Hop dong so 20210708- 2909938 va CCCD-CMND 361776185</t>
  </si>
  <si>
    <t>241</t>
  </si>
  <si>
    <t>FT22047085187901\KBB</t>
  </si>
  <si>
    <t>KA thanh toan Hop dong so 20201221- 1972852 va CCCD-CMND 023608450</t>
  </si>
  <si>
    <t>242</t>
  </si>
  <si>
    <t>FT22047680110835\KBB</t>
  </si>
  <si>
    <t>KA thanh toan Hop dong so 20210730- 9953957 va CCCD-CMND 082177001274</t>
  </si>
  <si>
    <t>243</t>
  </si>
  <si>
    <t>FT22047680110673\KBB</t>
  </si>
  <si>
    <t>KA thanh toan Hop dong so 20210120- 6990442 va CCCD-CMND 285468960</t>
  </si>
  <si>
    <t>244</t>
  </si>
  <si>
    <t>FT22047680110501\KBB</t>
  </si>
  <si>
    <t>KA thanh toan Hop dong so 20210621- 3976658 va CCCD-CMND 341253193</t>
  </si>
  <si>
    <t>245</t>
  </si>
  <si>
    <t>FT22047661923960\KBB</t>
  </si>
  <si>
    <t>246</t>
  </si>
  <si>
    <t>FT22047680110259\KBB</t>
  </si>
  <si>
    <t>247</t>
  </si>
  <si>
    <t>FT22047661923798\KBB</t>
  </si>
  <si>
    <t>KA thanh toan Hop dong so 20211204- 2970262 va CCCD-CMND 092184003856</t>
  </si>
  <si>
    <t>248</t>
  </si>
  <si>
    <t>FT22047680110006\KBB</t>
  </si>
  <si>
    <t>249</t>
  </si>
  <si>
    <t>FT22047035553213\KBB</t>
  </si>
  <si>
    <t>KA thanh toan Hop dong so 20210112- 9957467 va CCCD-CMND 212772933</t>
  </si>
  <si>
    <t>250</t>
  </si>
  <si>
    <t>FT22047334354528\KBB</t>
  </si>
  <si>
    <t>KA thanh toan Hop dong so 20211218- 3941615 va CCCD-CMND 270949815</t>
  </si>
  <si>
    <t>251</t>
  </si>
  <si>
    <t>FT22047372483196\KBB</t>
  </si>
  <si>
    <t>KA thanh toan Hop dong so 20211210- 0946178 va CCCD-CMND 087099000335</t>
  </si>
  <si>
    <t>252</t>
  </si>
  <si>
    <t>FT22047680110530\KBB</t>
  </si>
  <si>
    <t>KA thanh toan Hop dong so 20211104- 2935941 va CCCD-CMND 051175000899</t>
  </si>
  <si>
    <t>253</t>
  </si>
  <si>
    <t>FT22047680110449\KBB</t>
  </si>
  <si>
    <t>KA thanh toan Hop dong so 20201006- 0936070 va CCCD-CMND 271997412</t>
  </si>
  <si>
    <t>254</t>
  </si>
  <si>
    <t>FT22047185208710\KBB</t>
  </si>
  <si>
    <t>KA thanh toan Hop dong so 20211129- 4918156 va CCCD-CMND 079191006866</t>
  </si>
  <si>
    <t>255</t>
  </si>
  <si>
    <t>FT22047680110206\KBB</t>
  </si>
  <si>
    <t>KA thanh toan Hop dong so 20211110- 4902157 va CCCD-CMND 077077000002</t>
  </si>
  <si>
    <t>256</t>
  </si>
  <si>
    <t>FT22047185208468\KBB</t>
  </si>
  <si>
    <t>257</t>
  </si>
  <si>
    <t>FT22047085185867\KBB</t>
  </si>
  <si>
    <t>KA thanh toan Hop dong so 20210928- 0949679 va CCCD-CMND 058182007800</t>
  </si>
  <si>
    <t>258</t>
  </si>
  <si>
    <t>FT22047185208215\KBB</t>
  </si>
  <si>
    <t>KA thanh toan Hop dong so 20211103- 4923398 va CCCD-CMND 052192009807</t>
  </si>
  <si>
    <t>259</t>
  </si>
  <si>
    <t>FT22047680109800\KBB</t>
  </si>
  <si>
    <t>KA thanh toan Hop dong so 20211028- 4945789 va CCCD-CMND 051084000187</t>
  </si>
  <si>
    <t>260</t>
  </si>
  <si>
    <t>FT22047661922159\KBB</t>
  </si>
  <si>
    <t>KA thanh toan Hop dong so 20211027- 4933626 va CCCD-CMND 301626514</t>
  </si>
  <si>
    <t>261</t>
  </si>
  <si>
    <t>FT22047903192000\KBB</t>
  </si>
  <si>
    <t>262</t>
  </si>
  <si>
    <t>FT22047661921925\KBB</t>
  </si>
  <si>
    <t>KA thanh toan Hop dong so 20211112- 5922848 va CCCD-CMND 054192010288</t>
  </si>
  <si>
    <t>263</t>
  </si>
  <si>
    <t>FT22047307534337</t>
  </si>
  <si>
    <t>NHAN TU 04101010024937 TRACE 178467 ND Chuyen khoan</t>
  </si>
  <si>
    <t>16/02/2022 15:59</t>
  </si>
  <si>
    <t>264</t>
  </si>
  <si>
    <t>15/02/2022</t>
  </si>
  <si>
    <t>FT22046900081095\KBB</t>
  </si>
  <si>
    <t>15/02/2022 17:01</t>
  </si>
  <si>
    <t>265</t>
  </si>
  <si>
    <t>FT22046594821447\KBB</t>
  </si>
  <si>
    <t>266</t>
  </si>
  <si>
    <t>FT22046930887517\KBB</t>
  </si>
  <si>
    <t>267</t>
  </si>
  <si>
    <t>FT22046845158400\KBB</t>
  </si>
  <si>
    <t>268</t>
  </si>
  <si>
    <t>FT22046149920081\KBB</t>
  </si>
  <si>
    <t>269</t>
  </si>
  <si>
    <t>FT22046289152204\KBB</t>
  </si>
  <si>
    <t>270</t>
  </si>
  <si>
    <t>FT22046845158067\KBB</t>
  </si>
  <si>
    <t>271</t>
  </si>
  <si>
    <t>FT22046289152054\KBB</t>
  </si>
  <si>
    <t>KA thanh toan Hop dong so 20210402- 3900841 va CCCD-CMND 341515619</t>
  </si>
  <si>
    <t>272</t>
  </si>
  <si>
    <t>FT22046845157914\KBB</t>
  </si>
  <si>
    <t>273</t>
  </si>
  <si>
    <t>FT22046729110059\KBB</t>
  </si>
  <si>
    <t>274</t>
  </si>
  <si>
    <t>FT22046845157671\KBB</t>
  </si>
  <si>
    <t>275</t>
  </si>
  <si>
    <t>FT22046605847586\KBB</t>
  </si>
  <si>
    <t>276</t>
  </si>
  <si>
    <t>FT22046289151556\KBB</t>
  </si>
  <si>
    <t>277</t>
  </si>
  <si>
    <t>FT22046900080709\KBB</t>
  </si>
  <si>
    <t>KA thanh toan Hop dong so 20210722- 4913544 va CCCD-CMND 260720082</t>
  </si>
  <si>
    <t>278</t>
  </si>
  <si>
    <t>FT22046289151303\KBB</t>
  </si>
  <si>
    <t>279</t>
  </si>
  <si>
    <t>FT22046149919038\KBB</t>
  </si>
  <si>
    <t>280</t>
  </si>
  <si>
    <t>FT22046594820908\KBB</t>
  </si>
  <si>
    <t>281</t>
  </si>
  <si>
    <t>FT22046464764151\KBB</t>
  </si>
  <si>
    <t>KA thanh toan Hop dong so 20210504- 7914018 va CCCD-CMND 060178000294</t>
  </si>
  <si>
    <t>282</t>
  </si>
  <si>
    <t>FT22046917013224\KBB</t>
  </si>
  <si>
    <t>283</t>
  </si>
  <si>
    <t>FT22046289150746\KBB</t>
  </si>
  <si>
    <t>284</t>
  </si>
  <si>
    <t>FT22046094291549\KBB</t>
  </si>
  <si>
    <t>285</t>
  </si>
  <si>
    <t>FT22046289150584\KBB</t>
  </si>
  <si>
    <t>286</t>
  </si>
  <si>
    <t>FT22046464763675\KBB</t>
  </si>
  <si>
    <t>287</t>
  </si>
  <si>
    <t>FT22046289150331\KBB</t>
  </si>
  <si>
    <t>288</t>
  </si>
  <si>
    <t>FT22046605846200\KBB</t>
  </si>
  <si>
    <t>289</t>
  </si>
  <si>
    <t>FT22046423991364\KBB</t>
  </si>
  <si>
    <t>290</t>
  </si>
  <si>
    <t>FT22046289150017\KBB</t>
  </si>
  <si>
    <t>291</t>
  </si>
  <si>
    <t>FT22046954581509\KBB</t>
  </si>
  <si>
    <t>KA thanh toan Hop dong so 20210616- 3942538 va CCCD-CMND 211668547</t>
  </si>
  <si>
    <t>292</t>
  </si>
  <si>
    <t>FT22046845155809\KBB</t>
  </si>
  <si>
    <t>293</t>
  </si>
  <si>
    <t>FT22046289150602\KBB</t>
  </si>
  <si>
    <t>15/02/2022 17:00</t>
  </si>
  <si>
    <t>294</t>
  </si>
  <si>
    <t>FT22046464762703\KBB</t>
  </si>
  <si>
    <t>KA thanh toan Hop dong so 20210420- 6927650 va CCCD-CMND 068199000135</t>
  </si>
  <si>
    <t>295</t>
  </si>
  <si>
    <t>FT22046289150279\KBB</t>
  </si>
  <si>
    <t>296</t>
  </si>
  <si>
    <t>FT22046149916922\KBB</t>
  </si>
  <si>
    <t>FT22046605682903</t>
  </si>
  <si>
    <t>NHAN TU 04101010024937 TRACE 166204 ND chuyen khoan</t>
  </si>
  <si>
    <t>15/02/2022 16:16</t>
  </si>
  <si>
    <t>VPB TDKA</t>
  </si>
  <si>
    <t>2. Đối với sao kê Techcombank:
Cần save as định dạng xlsx trước</t>
  </si>
  <si>
    <t>297</t>
  </si>
  <si>
    <t>Các điểm cần note</t>
  </si>
  <si>
    <t>a. Mở file Xulysaoke.xlsm và ấn Alt - F11</t>
  </si>
  <si>
    <t>b. Trong cửa sổ bên tay trái nhấn vào Module2</t>
  </si>
  <si>
    <t>3. Sau khi chạy code ở sheet Guideline, ở sheet DQ copy công thức đang comment ở ô D1 xuống tất cả các ô</t>
  </si>
  <si>
    <r>
      <t>c. Ở cửa sổ bên tay phải bổ sung tên file như sau (ở trước dòng end sub): 
       Workbooks.Open (Path &amp; "</t>
    </r>
    <r>
      <rPr>
        <sz val="11"/>
        <color theme="5" tint="-0.249977111117893"/>
        <rFont val="Calibri"/>
        <family val="2"/>
        <scheme val="minor"/>
      </rPr>
      <t>VPB KSG</t>
    </r>
    <r>
      <rPr>
        <sz val="11"/>
        <color theme="1"/>
        <rFont val="Calibri"/>
        <family val="2"/>
        <scheme val="minor"/>
      </rPr>
      <t>.xls")
        Call Module1.File</t>
    </r>
    <r>
      <rPr>
        <sz val="11"/>
        <color theme="5" tint="-0.249977111117893"/>
        <rFont val="Calibri"/>
        <family val="2"/>
        <scheme val="minor"/>
      </rPr>
      <t>VPB</t>
    </r>
    <r>
      <rPr>
        <sz val="11"/>
        <color theme="1"/>
        <rFont val="Calibri"/>
        <family val="2"/>
        <scheme val="minor"/>
      </rPr>
      <t>("</t>
    </r>
    <r>
      <rPr>
        <sz val="11"/>
        <color theme="5" tint="-0.249977111117893"/>
        <rFont val="Calibri"/>
        <family val="2"/>
        <scheme val="minor"/>
      </rPr>
      <t>VPB KSG</t>
    </r>
    <r>
      <rPr>
        <sz val="11"/>
        <color theme="1"/>
        <rFont val="Calibri"/>
        <family val="2"/>
        <scheme val="minor"/>
      </rPr>
      <t>.xls")</t>
    </r>
  </si>
  <si>
    <t>5. Trong trường hợp có các file sao kê với tên mới thì cần</t>
  </si>
  <si>
    <t>1. Đường dẫn tới Folder chứa sao kê luôn cần ở vị trí ô B4 ở sheet Guideline, sau khi copy từ cửa sổ window vào thì cần thêm "\" ở cuối)</t>
  </si>
  <si>
    <t>4. Không đổi tên file Xulysaoke.xlsm này thành tên khác, không đổi tên sheet Saoke, sheet Guideline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</si>
</sst>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_₫_-;\-* #,##0.00\ _₫_-;_-* &quot;-&quot;??\ _₫_-;_-@_-"/>
    <numFmt numFmtId="165" formatCode="_-* #,##0\ _₫_-;\-* #,##0\ _₫_-;_-* &quot;-&quot;??\ _₫_-;_-@_-"/>
    <numFmt numFmtId="166" formatCode="_-* #,##0.000\ _₫_-;\-* #,##0.000\ _₫_-;_-* &quot;-&quot;??\ _₫_-;_-@_-"/>
    <numFmt numFmtId="167" formatCode="_-* #,##0.000000\ _₫_-;\-* #,##0.000000\ _₫_-;_-* &quot;-&quot;??\ _₫_-;_-@_-"/>
  </numFmts>
  <fonts count="159">
    <font>
      <sz val="11"/>
      <color theme="1"/>
      <name val="Calibri"/>
      <family val="2"/>
      <scheme val="minor"/>
    </font>
    <font>
      <b/>
      <sz val="16"/>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8"/>
      <color indexed="56"/>
      <name val="Cambria"/>
      <family val="1"/>
    </font>
    <font>
      <b/>
      <sz val="11"/>
      <color indexed="8"/>
      <name val="Calibri"/>
      <family val="2"/>
    </font>
    <font>
      <sz val="11"/>
      <color indexed="10"/>
      <name val="Calibri"/>
      <family val="2"/>
    </font>
    <font>
      <sz val="11"/>
      <color indexed="8"/>
      <name val="Calibri"/>
      <family val="2"/>
      <scheme val="minor"/>
    </font>
    <font>
      <sz val="10"/>
      <name val="Arial"/>
      <family val="2"/>
    </font>
    <font>
      <sz val="11"/>
      <color indexed="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8"/>
      <color indexed="56"/>
      <name val="Cambria"/>
      <family val="1"/>
    </font>
    <font>
      <b/>
      <sz val="11"/>
      <color indexed="8"/>
      <name val="Calibri"/>
      <family val="2"/>
    </font>
    <font>
      <sz val="11"/>
      <color indexed="10"/>
      <name val="Calibri"/>
      <family val="2"/>
    </font>
    <font>
      <sz val="11"/>
      <color indexed="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8"/>
      <color indexed="56"/>
      <name val="Cambria"/>
      <family val="1"/>
    </font>
    <font>
      <b/>
      <sz val="11"/>
      <color indexed="8"/>
      <name val="Calibri"/>
      <family val="2"/>
    </font>
    <font>
      <sz val="11"/>
      <color indexed="10"/>
      <name val="Calibri"/>
      <family val="2"/>
    </font>
    <font>
      <sz val="10"/>
      <name val="Arial"/>
      <family val="2"/>
    </font>
    <font>
      <sz val="11"/>
      <color indexed="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8"/>
      <color indexed="56"/>
      <name val="Cambria"/>
      <family val="1"/>
    </font>
    <font>
      <b/>
      <sz val="11"/>
      <color indexed="8"/>
      <name val="Calibri"/>
      <family val="2"/>
    </font>
    <font>
      <sz val="11"/>
      <color indexed="10"/>
      <name val="Calibri"/>
      <family val="2"/>
    </font>
    <font>
      <sz val="10"/>
      <name val="Arial"/>
      <family val="2"/>
    </font>
    <font>
      <sz val="11"/>
      <color theme="1"/>
      <name val="Calibri"/>
      <family val="2"/>
      <scheme val="minor"/>
    </font>
    <font>
      <sz val="11"/>
      <color indexed="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8"/>
      <color indexed="56"/>
      <name val="Cambria"/>
      <family val="1"/>
    </font>
    <font>
      <b/>
      <sz val="11"/>
      <color indexed="8"/>
      <name val="Calibri"/>
      <family val="2"/>
    </font>
    <font>
      <sz val="11"/>
      <color indexed="10"/>
      <name val="Calibri"/>
      <family val="2"/>
    </font>
    <font>
      <sz val="10"/>
      <name val="Arial"/>
      <family val="2"/>
    </font>
    <font>
      <sz val="11"/>
      <color indexed="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8"/>
      <color indexed="56"/>
      <name val="Cambria"/>
      <family val="1"/>
    </font>
    <font>
      <b/>
      <sz val="11"/>
      <color indexed="8"/>
      <name val="Calibri"/>
      <family val="2"/>
    </font>
    <font>
      <sz val="11"/>
      <color indexed="10"/>
      <name val="Calibri"/>
      <family val="2"/>
    </font>
    <font>
      <sz val="10"/>
      <name val="Arial"/>
      <family val="2"/>
    </font>
    <font>
      <b/>
      <sz val="14"/>
      <color theme="1"/>
      <name val="Times New Roman"/>
      <family val="1"/>
    </font>
    <font>
      <sz val="8"/>
      <color rgb="FF000000"/>
      <name val="Microsoft Sans Serif"/>
      <family val="2"/>
    </font>
    <font>
      <sz val="12"/>
      <color indexed="8"/>
      <name val="Times New Roman"/>
      <family val="1"/>
      <charset val="1"/>
    </font>
    <font>
      <sz val="10"/>
      <name val="Arial"/>
      <family val="2"/>
    </font>
    <font>
      <sz val="11"/>
      <color indexed="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8"/>
      <color indexed="56"/>
      <name val="Cambria"/>
      <family val="1"/>
    </font>
    <font>
      <b/>
      <sz val="11"/>
      <color indexed="8"/>
      <name val="Calibri"/>
      <family val="2"/>
    </font>
    <font>
      <sz val="11"/>
      <color indexed="10"/>
      <name val="Calibri"/>
      <family val="2"/>
    </font>
    <font>
      <sz val="9"/>
      <color indexed="81"/>
      <name val="Tahoma"/>
      <family val="2"/>
    </font>
    <font>
      <b/>
      <sz val="9"/>
      <color indexed="81"/>
      <name val="Tahoma"/>
      <family val="2"/>
    </font>
    <font>
      <b/>
      <sz val="11"/>
      <color theme="1"/>
      <name val="Calibri"/>
      <family val="2"/>
      <scheme val="minor"/>
    </font>
    <font>
      <sz val="11"/>
      <color rgb="FF0070C0"/>
      <name val="Calibri"/>
      <family val="2"/>
      <scheme val="minor"/>
    </font>
    <font>
      <sz val="11"/>
      <color theme="1" tint="4.9989318521683403E-2"/>
      <name val="Calibri"/>
      <family val="2"/>
      <scheme val="minor"/>
    </font>
    <font>
      <b/>
      <sz val="11"/>
      <color theme="1" tint="4.9989318521683403E-2"/>
      <name val="Calibri"/>
      <family val="2"/>
      <scheme val="minor"/>
    </font>
    <font>
      <b/>
      <sz val="11"/>
      <color rgb="FF0070C0"/>
      <name val="Calibri"/>
      <family val="2"/>
      <scheme val="minor"/>
    </font>
    <font>
      <b/>
      <sz val="11"/>
      <color indexed="9"/>
      <name val="Arial"/>
      <family val="2"/>
    </font>
    <font>
      <b/>
      <sz val="10"/>
      <color indexed="72"/>
      <name val="SansSerif"/>
    </font>
    <font>
      <sz val="10"/>
      <name val="SansSerif"/>
    </font>
    <font>
      <sz val="10"/>
      <color indexed="72"/>
      <name val="arial, helvetica, sans-serif"/>
    </font>
    <font>
      <sz val="10"/>
      <color indexed="72"/>
      <name val="SansSerif"/>
    </font>
    <font>
      <b/>
      <i/>
      <sz val="11"/>
      <name val="Calibri"/>
      <family val="2"/>
    </font>
    <font>
      <i/>
      <sz val="11"/>
      <color indexed="8"/>
      <name val="Calibri"/>
      <family val="2"/>
      <scheme val="minor"/>
    </font>
    <font>
      <sz val="11"/>
      <color theme="5" tint="-0.249977111117893"/>
      <name val="Calibri"/>
      <family val="2"/>
      <scheme val="minor"/>
    </font>
    <font>
      <b/>
      <sz val="11"/>
      <name val="Calibri"/>
      <family val="2"/>
    </font>
    <font>
      <b/>
      <sz val="8"/>
      <color indexed="8"/>
      <name val="Arial"/>
      <family val="2"/>
    </font>
    <font>
      <sz val="11"/>
      <color indexed="8"/>
      <name val="Times News Roman"/>
    </font>
    <font>
      <sz val="10"/>
      <color indexed="8"/>
      <name val="Times New Roman"/>
      <family val="1"/>
    </font>
    <font>
      <b/>
      <sz val="14"/>
      <color theme="1"/>
      <name val="Calibri"/>
      <family val="2"/>
      <scheme val="minor"/>
    </font>
  </fonts>
  <fills count="33">
    <fill>
      <patternFill patternType="none"/>
    </fill>
    <fill>
      <patternFill patternType="gray125"/>
    </fill>
    <fill>
      <patternFill patternType="solid">
        <fgColor indexed="31"/>
        <bgColor indexed="8"/>
      </patternFill>
    </fill>
    <fill>
      <patternFill patternType="solid">
        <fgColor indexed="45"/>
        <bgColor indexed="8"/>
      </patternFill>
    </fill>
    <fill>
      <patternFill patternType="solid">
        <fgColor indexed="42"/>
        <bgColor indexed="8"/>
      </patternFill>
    </fill>
    <fill>
      <patternFill patternType="solid">
        <fgColor indexed="46"/>
        <bgColor indexed="8"/>
      </patternFill>
    </fill>
    <fill>
      <patternFill patternType="solid">
        <fgColor indexed="27"/>
        <bgColor indexed="8"/>
      </patternFill>
    </fill>
    <fill>
      <patternFill patternType="solid">
        <fgColor indexed="47"/>
        <bgColor indexed="8"/>
      </patternFill>
    </fill>
    <fill>
      <patternFill patternType="solid">
        <fgColor indexed="44"/>
        <bgColor indexed="8"/>
      </patternFill>
    </fill>
    <fill>
      <patternFill patternType="solid">
        <fgColor indexed="29"/>
        <bgColor indexed="8"/>
      </patternFill>
    </fill>
    <fill>
      <patternFill patternType="solid">
        <fgColor indexed="11"/>
        <bgColor indexed="8"/>
      </patternFill>
    </fill>
    <fill>
      <patternFill patternType="solid">
        <fgColor indexed="51"/>
        <bgColor indexed="8"/>
      </patternFill>
    </fill>
    <fill>
      <patternFill patternType="solid">
        <fgColor indexed="30"/>
        <bgColor indexed="8"/>
      </patternFill>
    </fill>
    <fill>
      <patternFill patternType="solid">
        <fgColor indexed="20"/>
        <bgColor indexed="8"/>
      </patternFill>
    </fill>
    <fill>
      <patternFill patternType="solid">
        <fgColor indexed="49"/>
        <bgColor indexed="8"/>
      </patternFill>
    </fill>
    <fill>
      <patternFill patternType="solid">
        <fgColor indexed="52"/>
        <bgColor indexed="8"/>
      </patternFill>
    </fill>
    <fill>
      <patternFill patternType="solid">
        <fgColor indexed="62"/>
        <bgColor indexed="8"/>
      </patternFill>
    </fill>
    <fill>
      <patternFill patternType="solid">
        <fgColor indexed="10"/>
        <bgColor indexed="8"/>
      </patternFill>
    </fill>
    <fill>
      <patternFill patternType="solid">
        <fgColor indexed="57"/>
        <bgColor indexed="8"/>
      </patternFill>
    </fill>
    <fill>
      <patternFill patternType="solid">
        <fgColor indexed="53"/>
        <bgColor indexed="8"/>
      </patternFill>
    </fill>
    <fill>
      <patternFill patternType="solid">
        <fgColor indexed="22"/>
        <bgColor indexed="8"/>
      </patternFill>
    </fill>
    <fill>
      <patternFill patternType="solid">
        <fgColor indexed="55"/>
        <bgColor indexed="8"/>
      </patternFill>
    </fill>
    <fill>
      <patternFill patternType="solid">
        <fgColor indexed="43"/>
        <bgColor indexed="8"/>
      </patternFill>
    </fill>
    <fill>
      <patternFill patternType="solid">
        <fgColor indexed="26"/>
        <bgColor indexed="8"/>
      </patternFill>
    </fill>
    <fill>
      <patternFill patternType="solid">
        <fgColor rgb="FFADC7E7"/>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indexed="60"/>
        <bgColor indexed="64"/>
      </patternFill>
    </fill>
    <fill>
      <patternFill patternType="solid">
        <fgColor indexed="44"/>
      </patternFill>
    </fill>
    <fill>
      <patternFill patternType="solid">
        <fgColor indexed="31"/>
        <bgColor indexed="64"/>
      </patternFill>
    </fill>
    <fill>
      <patternFill patternType="solid">
        <fgColor indexed="9"/>
        <bgColor indexed="64"/>
      </patternFill>
    </fill>
    <fill>
      <patternFill patternType="solid">
        <fgColor theme="7" tint="0.79998168889431442"/>
        <bgColor indexed="64"/>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7DA2CE"/>
      </left>
      <right style="thin">
        <color rgb="FF7DA2CE"/>
      </right>
      <top style="thin">
        <color rgb="FF7DA2CE"/>
      </top>
      <bottom/>
      <diagonal/>
    </border>
    <border>
      <left style="thin">
        <color indexed="22"/>
      </left>
      <right style="thin">
        <color indexed="22"/>
      </right>
      <top/>
      <bottom/>
      <diagonal/>
    </border>
    <border>
      <left style="thin">
        <color indexed="31"/>
      </left>
      <right style="thin">
        <color indexed="31"/>
      </right>
      <top style="thin">
        <color indexed="31"/>
      </top>
      <bottom style="thin">
        <color indexed="31"/>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medium">
        <color indexed="23"/>
      </left>
      <right style="thin">
        <color indexed="23"/>
      </right>
      <top style="medium">
        <color indexed="23"/>
      </top>
      <bottom/>
      <diagonal/>
    </border>
    <border>
      <left style="thin">
        <color indexed="23"/>
      </left>
      <right style="thin">
        <color indexed="23"/>
      </right>
      <top style="medium">
        <color indexed="23"/>
      </top>
      <bottom/>
      <diagonal/>
    </border>
    <border>
      <left style="thin">
        <color indexed="23"/>
      </left>
      <right style="medium">
        <color indexed="23"/>
      </right>
      <top style="medium">
        <color indexed="23"/>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style="thin">
        <color indexed="8"/>
      </left>
      <right/>
      <top style="thin">
        <color indexed="64"/>
      </top>
      <bottom/>
      <diagonal/>
    </border>
    <border>
      <left/>
      <right/>
      <top style="thin">
        <color indexed="64"/>
      </top>
      <bottom/>
      <diagonal/>
    </border>
    <border>
      <left/>
      <right style="thin">
        <color indexed="8"/>
      </right>
      <top style="thin">
        <color indexed="64"/>
      </top>
      <bottom/>
      <diagonal/>
    </border>
    <border>
      <left style="thin">
        <color indexed="8"/>
      </left>
      <right style="thin">
        <color indexed="8"/>
      </right>
      <top style="thin">
        <color indexed="8"/>
      </top>
      <bottom style="dotted">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s>
  <cellStyleXfs count="305">
    <xf numFmtId="0" fontId="0" fillId="0" borderId="0"/>
    <xf numFmtId="0" fontId="2" fillId="0" borderId="0" applyNumberFormat="0" applyFont="0" applyFill="0" applyBorder="0" applyAlignment="0" applyProtection="0"/>
    <xf numFmtId="0" fontId="3"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3"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0" fillId="0" borderId="0"/>
    <xf numFmtId="0" fontId="21" fillId="0" borderId="0" applyNumberFormat="0" applyFont="0" applyFill="0" applyBorder="0" applyAlignment="0" applyProtection="0"/>
    <xf numFmtId="0" fontId="22" fillId="0" borderId="0"/>
    <xf numFmtId="0" fontId="23" fillId="2"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5" borderId="0" applyNumberFormat="0" applyBorder="0" applyAlignment="0" applyProtection="0"/>
    <xf numFmtId="0" fontId="23" fillId="8" borderId="0" applyNumberFormat="0" applyBorder="0" applyAlignment="0" applyProtection="0"/>
    <xf numFmtId="0" fontId="23" fillId="11"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9" borderId="0" applyNumberFormat="0" applyBorder="0" applyAlignment="0" applyProtection="0"/>
    <xf numFmtId="0" fontId="25" fillId="3" borderId="0" applyNumberFormat="0" applyBorder="0" applyAlignment="0" applyProtection="0"/>
    <xf numFmtId="0" fontId="26" fillId="20" borderId="1" applyNumberFormat="0" applyAlignment="0" applyProtection="0"/>
    <xf numFmtId="0" fontId="27" fillId="21" borderId="2" applyNumberFormat="0" applyAlignment="0" applyProtection="0"/>
    <xf numFmtId="0" fontId="28" fillId="0" borderId="0" applyNumberFormat="0" applyFill="0" applyBorder="0" applyAlignment="0" applyProtection="0"/>
    <xf numFmtId="0" fontId="29" fillId="4" borderId="0" applyNumberFormat="0" applyBorder="0" applyAlignment="0" applyProtection="0"/>
    <xf numFmtId="0" fontId="30" fillId="0" borderId="3" applyNumberFormat="0" applyFill="0" applyAlignment="0" applyProtection="0"/>
    <xf numFmtId="0" fontId="31" fillId="0" borderId="4" applyNumberFormat="0" applyFill="0" applyAlignment="0" applyProtection="0"/>
    <xf numFmtId="0" fontId="32" fillId="0" borderId="5" applyNumberFormat="0" applyFill="0" applyAlignment="0" applyProtection="0"/>
    <xf numFmtId="0" fontId="32" fillId="0" borderId="0" applyNumberFormat="0" applyFill="0" applyBorder="0" applyAlignment="0" applyProtection="0"/>
    <xf numFmtId="0" fontId="33" fillId="7" borderId="1" applyNumberFormat="0" applyAlignment="0" applyProtection="0"/>
    <xf numFmtId="0" fontId="34" fillId="0" borderId="6" applyNumberFormat="0" applyFill="0" applyAlignment="0" applyProtection="0"/>
    <xf numFmtId="0" fontId="35" fillId="22" borderId="0" applyNumberFormat="0" applyBorder="0" applyAlignment="0" applyProtection="0"/>
    <xf numFmtId="0" fontId="22" fillId="23" borderId="7" applyNumberFormat="0" applyFont="0" applyAlignment="0" applyProtection="0"/>
    <xf numFmtId="0" fontId="36" fillId="20" borderId="8" applyNumberFormat="0" applyAlignment="0" applyProtection="0"/>
    <xf numFmtId="0" fontId="37" fillId="0" borderId="0" applyNumberFormat="0" applyFill="0" applyBorder="0" applyAlignment="0" applyProtection="0"/>
    <xf numFmtId="0" fontId="38" fillId="0" borderId="9" applyNumberFormat="0" applyFill="0" applyAlignment="0" applyProtection="0"/>
    <xf numFmtId="0" fontId="39" fillId="0" borderId="0" applyNumberFormat="0" applyFill="0" applyBorder="0" applyAlignment="0" applyProtection="0"/>
    <xf numFmtId="0" fontId="40" fillId="0" borderId="0"/>
    <xf numFmtId="0" fontId="41" fillId="2" borderId="0" applyNumberFormat="0" applyBorder="0" applyAlignment="0" applyProtection="0"/>
    <xf numFmtId="0" fontId="41" fillId="3" borderId="0" applyNumberFormat="0" applyBorder="0" applyAlignment="0" applyProtection="0"/>
    <xf numFmtId="0" fontId="41" fillId="4" borderId="0" applyNumberFormat="0" applyBorder="0" applyAlignment="0" applyProtection="0"/>
    <xf numFmtId="0" fontId="41" fillId="5" borderId="0" applyNumberFormat="0" applyBorder="0" applyAlignment="0" applyProtection="0"/>
    <xf numFmtId="0" fontId="41" fillId="6" borderId="0" applyNumberFormat="0" applyBorder="0" applyAlignment="0" applyProtection="0"/>
    <xf numFmtId="0" fontId="41" fillId="7" borderId="0" applyNumberFormat="0" applyBorder="0" applyAlignment="0" applyProtection="0"/>
    <xf numFmtId="0" fontId="41" fillId="8" borderId="0" applyNumberFormat="0" applyBorder="0" applyAlignment="0" applyProtection="0"/>
    <xf numFmtId="0" fontId="41" fillId="9" borderId="0" applyNumberFormat="0" applyBorder="0" applyAlignment="0" applyProtection="0"/>
    <xf numFmtId="0" fontId="41" fillId="10" borderId="0" applyNumberFormat="0" applyBorder="0" applyAlignment="0" applyProtection="0"/>
    <xf numFmtId="0" fontId="41" fillId="5" borderId="0" applyNumberFormat="0" applyBorder="0" applyAlignment="0" applyProtection="0"/>
    <xf numFmtId="0" fontId="41" fillId="8" borderId="0" applyNumberFormat="0" applyBorder="0" applyAlignment="0" applyProtection="0"/>
    <xf numFmtId="0" fontId="41" fillId="11" borderId="0" applyNumberFormat="0" applyBorder="0" applyAlignment="0" applyProtection="0"/>
    <xf numFmtId="0" fontId="42" fillId="12" borderId="0" applyNumberFormat="0" applyBorder="0" applyAlignment="0" applyProtection="0"/>
    <xf numFmtId="0" fontId="42" fillId="9" borderId="0" applyNumberFormat="0" applyBorder="0" applyAlignment="0" applyProtection="0"/>
    <xf numFmtId="0" fontId="42" fillId="10" borderId="0" applyNumberFormat="0" applyBorder="0" applyAlignment="0" applyProtection="0"/>
    <xf numFmtId="0" fontId="42" fillId="13" borderId="0" applyNumberFormat="0" applyBorder="0" applyAlignment="0" applyProtection="0"/>
    <xf numFmtId="0" fontId="42" fillId="14" borderId="0" applyNumberFormat="0" applyBorder="0" applyAlignment="0" applyProtection="0"/>
    <xf numFmtId="0" fontId="42" fillId="15" borderId="0" applyNumberFormat="0" applyBorder="0" applyAlignment="0" applyProtection="0"/>
    <xf numFmtId="0" fontId="42" fillId="16" borderId="0" applyNumberFormat="0" applyBorder="0" applyAlignment="0" applyProtection="0"/>
    <xf numFmtId="0" fontId="42" fillId="17" borderId="0" applyNumberFormat="0" applyBorder="0" applyAlignment="0" applyProtection="0"/>
    <xf numFmtId="0" fontId="42" fillId="18" borderId="0" applyNumberFormat="0" applyBorder="0" applyAlignment="0" applyProtection="0"/>
    <xf numFmtId="0" fontId="42" fillId="13" borderId="0" applyNumberFormat="0" applyBorder="0" applyAlignment="0" applyProtection="0"/>
    <xf numFmtId="0" fontId="42" fillId="14" borderId="0" applyNumberFormat="0" applyBorder="0" applyAlignment="0" applyProtection="0"/>
    <xf numFmtId="0" fontId="42" fillId="19" borderId="0" applyNumberFormat="0" applyBorder="0" applyAlignment="0" applyProtection="0"/>
    <xf numFmtId="0" fontId="43" fillId="3" borderId="0" applyNumberFormat="0" applyBorder="0" applyAlignment="0" applyProtection="0"/>
    <xf numFmtId="0" fontId="44" fillId="20" borderId="1" applyNumberFormat="0" applyAlignment="0" applyProtection="0"/>
    <xf numFmtId="0" fontId="45" fillId="21" borderId="2" applyNumberFormat="0" applyAlignment="0" applyProtection="0"/>
    <xf numFmtId="0" fontId="46" fillId="0" borderId="0" applyNumberFormat="0" applyFill="0" applyBorder="0" applyAlignment="0" applyProtection="0"/>
    <xf numFmtId="0" fontId="47" fillId="4" borderId="0" applyNumberFormat="0" applyBorder="0" applyAlignment="0" applyProtection="0"/>
    <xf numFmtId="0" fontId="48" fillId="0" borderId="3" applyNumberFormat="0" applyFill="0" applyAlignment="0" applyProtection="0"/>
    <xf numFmtId="0" fontId="49" fillId="0" borderId="4" applyNumberFormat="0" applyFill="0" applyAlignment="0" applyProtection="0"/>
    <xf numFmtId="0" fontId="50" fillId="0" borderId="5" applyNumberFormat="0" applyFill="0" applyAlignment="0" applyProtection="0"/>
    <xf numFmtId="0" fontId="50" fillId="0" borderId="0" applyNumberFormat="0" applyFill="0" applyBorder="0" applyAlignment="0" applyProtection="0"/>
    <xf numFmtId="0" fontId="51" fillId="7" borderId="1" applyNumberFormat="0" applyAlignment="0" applyProtection="0"/>
    <xf numFmtId="0" fontId="52" fillId="0" borderId="6" applyNumberFormat="0" applyFill="0" applyAlignment="0" applyProtection="0"/>
    <xf numFmtId="0" fontId="53" fillId="22" borderId="0" applyNumberFormat="0" applyBorder="0" applyAlignment="0" applyProtection="0"/>
    <xf numFmtId="0" fontId="40" fillId="23" borderId="7" applyNumberFormat="0" applyFont="0" applyAlignment="0" applyProtection="0"/>
    <xf numFmtId="0" fontId="54" fillId="20" borderId="8" applyNumberFormat="0" applyAlignment="0" applyProtection="0"/>
    <xf numFmtId="0" fontId="55" fillId="0" borderId="0" applyNumberFormat="0" applyFill="0" applyBorder="0" applyAlignment="0" applyProtection="0"/>
    <xf numFmtId="0" fontId="56" fillId="0" borderId="9" applyNumberFormat="0" applyFill="0" applyAlignment="0" applyProtection="0"/>
    <xf numFmtId="0" fontId="57" fillId="0" borderId="0" applyNumberFormat="0" applyFill="0" applyBorder="0" applyAlignment="0" applyProtection="0"/>
    <xf numFmtId="0" fontId="58" fillId="0" borderId="0" applyNumberFormat="0" applyFont="0" applyFill="0" applyBorder="0" applyAlignment="0" applyProtection="0"/>
    <xf numFmtId="0" fontId="59" fillId="0" borderId="0"/>
    <xf numFmtId="0" fontId="60" fillId="2" borderId="0" applyNumberFormat="0" applyBorder="0" applyAlignment="0" applyProtection="0"/>
    <xf numFmtId="0" fontId="60" fillId="3" borderId="0" applyNumberFormat="0" applyBorder="0" applyAlignment="0" applyProtection="0"/>
    <xf numFmtId="0" fontId="60" fillId="4" borderId="0" applyNumberFormat="0" applyBorder="0" applyAlignment="0" applyProtection="0"/>
    <xf numFmtId="0" fontId="60" fillId="5" borderId="0" applyNumberFormat="0" applyBorder="0" applyAlignment="0" applyProtection="0"/>
    <xf numFmtId="0" fontId="60" fillId="6" borderId="0" applyNumberFormat="0" applyBorder="0" applyAlignment="0" applyProtection="0"/>
    <xf numFmtId="0" fontId="60" fillId="7" borderId="0" applyNumberFormat="0" applyBorder="0" applyAlignment="0" applyProtection="0"/>
    <xf numFmtId="0" fontId="60" fillId="8" borderId="0" applyNumberFormat="0" applyBorder="0" applyAlignment="0" applyProtection="0"/>
    <xf numFmtId="0" fontId="60" fillId="9" borderId="0" applyNumberFormat="0" applyBorder="0" applyAlignment="0" applyProtection="0"/>
    <xf numFmtId="0" fontId="60" fillId="10" borderId="0" applyNumberFormat="0" applyBorder="0" applyAlignment="0" applyProtection="0"/>
    <xf numFmtId="0" fontId="60" fillId="5" borderId="0" applyNumberFormat="0" applyBorder="0" applyAlignment="0" applyProtection="0"/>
    <xf numFmtId="0" fontId="60" fillId="8" borderId="0" applyNumberFormat="0" applyBorder="0" applyAlignment="0" applyProtection="0"/>
    <xf numFmtId="0" fontId="60" fillId="11" borderId="0" applyNumberFormat="0" applyBorder="0" applyAlignment="0" applyProtection="0"/>
    <xf numFmtId="0" fontId="61" fillId="12" borderId="0" applyNumberFormat="0" applyBorder="0" applyAlignment="0" applyProtection="0"/>
    <xf numFmtId="0" fontId="61" fillId="9" borderId="0" applyNumberFormat="0" applyBorder="0" applyAlignment="0" applyProtection="0"/>
    <xf numFmtId="0" fontId="61" fillId="10" borderId="0" applyNumberFormat="0" applyBorder="0" applyAlignment="0" applyProtection="0"/>
    <xf numFmtId="0" fontId="61" fillId="13" borderId="0" applyNumberFormat="0" applyBorder="0" applyAlignment="0" applyProtection="0"/>
    <xf numFmtId="0" fontId="61" fillId="14" borderId="0" applyNumberFormat="0" applyBorder="0" applyAlignment="0" applyProtection="0"/>
    <xf numFmtId="0" fontId="61" fillId="15" borderId="0" applyNumberFormat="0" applyBorder="0" applyAlignment="0" applyProtection="0"/>
    <xf numFmtId="0" fontId="61" fillId="16" borderId="0" applyNumberFormat="0" applyBorder="0" applyAlignment="0" applyProtection="0"/>
    <xf numFmtId="0" fontId="61" fillId="17" borderId="0" applyNumberFormat="0" applyBorder="0" applyAlignment="0" applyProtection="0"/>
    <xf numFmtId="0" fontId="61" fillId="18" borderId="0" applyNumberFormat="0" applyBorder="0" applyAlignment="0" applyProtection="0"/>
    <xf numFmtId="0" fontId="61" fillId="13" borderId="0" applyNumberFormat="0" applyBorder="0" applyAlignment="0" applyProtection="0"/>
    <xf numFmtId="0" fontId="61" fillId="14" borderId="0" applyNumberFormat="0" applyBorder="0" applyAlignment="0" applyProtection="0"/>
    <xf numFmtId="0" fontId="61" fillId="19" borderId="0" applyNumberFormat="0" applyBorder="0" applyAlignment="0" applyProtection="0"/>
    <xf numFmtId="0" fontId="62" fillId="3" borderId="0" applyNumberFormat="0" applyBorder="0" applyAlignment="0" applyProtection="0"/>
    <xf numFmtId="0" fontId="63" fillId="20" borderId="1" applyNumberFormat="0" applyAlignment="0" applyProtection="0"/>
    <xf numFmtId="0" fontId="64" fillId="21" borderId="2" applyNumberFormat="0" applyAlignment="0" applyProtection="0"/>
    <xf numFmtId="0" fontId="65" fillId="0" borderId="0" applyNumberFormat="0" applyFill="0" applyBorder="0" applyAlignment="0" applyProtection="0"/>
    <xf numFmtId="0" fontId="66" fillId="4" borderId="0" applyNumberFormat="0" applyBorder="0" applyAlignment="0" applyProtection="0"/>
    <xf numFmtId="0" fontId="67" fillId="0" borderId="3" applyNumberFormat="0" applyFill="0" applyAlignment="0" applyProtection="0"/>
    <xf numFmtId="0" fontId="68" fillId="0" borderId="4" applyNumberFormat="0" applyFill="0" applyAlignment="0" applyProtection="0"/>
    <xf numFmtId="0" fontId="69" fillId="0" borderId="5" applyNumberFormat="0" applyFill="0" applyAlignment="0" applyProtection="0"/>
    <xf numFmtId="0" fontId="69" fillId="0" borderId="0" applyNumberFormat="0" applyFill="0" applyBorder="0" applyAlignment="0" applyProtection="0"/>
    <xf numFmtId="0" fontId="70" fillId="7" borderId="1" applyNumberFormat="0" applyAlignment="0" applyProtection="0"/>
    <xf numFmtId="0" fontId="71" fillId="0" borderId="6" applyNumberFormat="0" applyFill="0" applyAlignment="0" applyProtection="0"/>
    <xf numFmtId="0" fontId="72" fillId="22" borderId="0" applyNumberFormat="0" applyBorder="0" applyAlignment="0" applyProtection="0"/>
    <xf numFmtId="0" fontId="59" fillId="23" borderId="7" applyNumberFormat="0" applyFont="0" applyAlignment="0" applyProtection="0"/>
    <xf numFmtId="0" fontId="73" fillId="20" borderId="8" applyNumberFormat="0" applyAlignment="0" applyProtection="0"/>
    <xf numFmtId="0" fontId="74" fillId="0" borderId="0" applyNumberFormat="0" applyFill="0" applyBorder="0" applyAlignment="0" applyProtection="0"/>
    <xf numFmtId="0" fontId="75" fillId="0" borderId="9" applyNumberFormat="0" applyFill="0" applyAlignment="0" applyProtection="0"/>
    <xf numFmtId="0" fontId="76" fillId="0" borderId="0" applyNumberFormat="0" applyFill="0" applyBorder="0" applyAlignment="0" applyProtection="0"/>
    <xf numFmtId="0" fontId="77" fillId="0" borderId="0" applyNumberFormat="0" applyFont="0" applyFill="0" applyBorder="0" applyAlignment="0" applyProtection="0"/>
    <xf numFmtId="164" fontId="78" fillId="0" borderId="0" applyFont="0" applyFill="0" applyBorder="0" applyAlignment="0" applyProtection="0"/>
    <xf numFmtId="0" fontId="79" fillId="0" borderId="0"/>
    <xf numFmtId="0" fontId="80" fillId="2" borderId="0" applyNumberFormat="0" applyBorder="0" applyAlignment="0" applyProtection="0"/>
    <xf numFmtId="0" fontId="80" fillId="3" borderId="0" applyNumberFormat="0" applyBorder="0" applyAlignment="0" applyProtection="0"/>
    <xf numFmtId="0" fontId="80" fillId="4" borderId="0" applyNumberFormat="0" applyBorder="0" applyAlignment="0" applyProtection="0"/>
    <xf numFmtId="0" fontId="80" fillId="5" borderId="0" applyNumberFormat="0" applyBorder="0" applyAlignment="0" applyProtection="0"/>
    <xf numFmtId="0" fontId="80" fillId="6" borderId="0" applyNumberFormat="0" applyBorder="0" applyAlignment="0" applyProtection="0"/>
    <xf numFmtId="0" fontId="80" fillId="7" borderId="0" applyNumberFormat="0" applyBorder="0" applyAlignment="0" applyProtection="0"/>
    <xf numFmtId="0" fontId="80" fillId="8" borderId="0" applyNumberFormat="0" applyBorder="0" applyAlignment="0" applyProtection="0"/>
    <xf numFmtId="0" fontId="80" fillId="9" borderId="0" applyNumberFormat="0" applyBorder="0" applyAlignment="0" applyProtection="0"/>
    <xf numFmtId="0" fontId="80" fillId="10" borderId="0" applyNumberFormat="0" applyBorder="0" applyAlignment="0" applyProtection="0"/>
    <xf numFmtId="0" fontId="80" fillId="5" borderId="0" applyNumberFormat="0" applyBorder="0" applyAlignment="0" applyProtection="0"/>
    <xf numFmtId="0" fontId="80" fillId="8" borderId="0" applyNumberFormat="0" applyBorder="0" applyAlignment="0" applyProtection="0"/>
    <xf numFmtId="0" fontId="80" fillId="11" borderId="0" applyNumberFormat="0" applyBorder="0" applyAlignment="0" applyProtection="0"/>
    <xf numFmtId="0" fontId="81" fillId="12" borderId="0" applyNumberFormat="0" applyBorder="0" applyAlignment="0" applyProtection="0"/>
    <xf numFmtId="0" fontId="81" fillId="9" borderId="0" applyNumberFormat="0" applyBorder="0" applyAlignment="0" applyProtection="0"/>
    <xf numFmtId="0" fontId="81" fillId="10"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5" borderId="0" applyNumberFormat="0" applyBorder="0" applyAlignment="0" applyProtection="0"/>
    <xf numFmtId="0" fontId="81" fillId="16" borderId="0" applyNumberFormat="0" applyBorder="0" applyAlignment="0" applyProtection="0"/>
    <xf numFmtId="0" fontId="81" fillId="17" borderId="0" applyNumberFormat="0" applyBorder="0" applyAlignment="0" applyProtection="0"/>
    <xf numFmtId="0" fontId="81" fillId="18"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9" borderId="0" applyNumberFormat="0" applyBorder="0" applyAlignment="0" applyProtection="0"/>
    <xf numFmtId="0" fontId="82" fillId="3" borderId="0" applyNumberFormat="0" applyBorder="0" applyAlignment="0" applyProtection="0"/>
    <xf numFmtId="0" fontId="83" fillId="20" borderId="1" applyNumberFormat="0" applyAlignment="0" applyProtection="0"/>
    <xf numFmtId="0" fontId="84" fillId="21" borderId="2" applyNumberFormat="0" applyAlignment="0" applyProtection="0"/>
    <xf numFmtId="0" fontId="85" fillId="0" borderId="0" applyNumberFormat="0" applyFill="0" applyBorder="0" applyAlignment="0" applyProtection="0"/>
    <xf numFmtId="0" fontId="86" fillId="4" borderId="0" applyNumberFormat="0" applyBorder="0" applyAlignment="0" applyProtection="0"/>
    <xf numFmtId="0" fontId="87" fillId="0" borderId="3" applyNumberFormat="0" applyFill="0" applyAlignment="0" applyProtection="0"/>
    <xf numFmtId="0" fontId="88" fillId="0" borderId="4" applyNumberFormat="0" applyFill="0" applyAlignment="0" applyProtection="0"/>
    <xf numFmtId="0" fontId="89" fillId="0" borderId="5" applyNumberFormat="0" applyFill="0" applyAlignment="0" applyProtection="0"/>
    <xf numFmtId="0" fontId="89" fillId="0" borderId="0" applyNumberFormat="0" applyFill="0" applyBorder="0" applyAlignment="0" applyProtection="0"/>
    <xf numFmtId="0" fontId="90" fillId="7" borderId="1" applyNumberFormat="0" applyAlignment="0" applyProtection="0"/>
    <xf numFmtId="0" fontId="91" fillId="0" borderId="6" applyNumberFormat="0" applyFill="0" applyAlignment="0" applyProtection="0"/>
    <xf numFmtId="0" fontId="92" fillId="22" borderId="0" applyNumberFormat="0" applyBorder="0" applyAlignment="0" applyProtection="0"/>
    <xf numFmtId="0" fontId="79" fillId="23" borderId="7" applyNumberFormat="0" applyFont="0" applyAlignment="0" applyProtection="0"/>
    <xf numFmtId="0" fontId="93" fillId="20" borderId="8" applyNumberFormat="0" applyAlignment="0" applyProtection="0"/>
    <xf numFmtId="0" fontId="94" fillId="0" borderId="0" applyNumberFormat="0" applyFill="0" applyBorder="0" applyAlignment="0" applyProtection="0"/>
    <xf numFmtId="0" fontId="95" fillId="0" borderId="9" applyNumberFormat="0" applyFill="0" applyAlignment="0" applyProtection="0"/>
    <xf numFmtId="0" fontId="96" fillId="0" borderId="0" applyNumberFormat="0" applyFill="0" applyBorder="0" applyAlignment="0" applyProtection="0"/>
    <xf numFmtId="0" fontId="97" fillId="0" borderId="0" applyNumberFormat="0" applyFont="0" applyFill="0" applyBorder="0" applyAlignment="0" applyProtection="0"/>
    <xf numFmtId="0" fontId="98" fillId="0" borderId="0"/>
    <xf numFmtId="0" fontId="99" fillId="2" borderId="0" applyNumberFormat="0" applyBorder="0" applyAlignment="0" applyProtection="0"/>
    <xf numFmtId="0" fontId="99" fillId="3" borderId="0" applyNumberFormat="0" applyBorder="0" applyAlignment="0" applyProtection="0"/>
    <xf numFmtId="0" fontId="99" fillId="4" borderId="0" applyNumberFormat="0" applyBorder="0" applyAlignment="0" applyProtection="0"/>
    <xf numFmtId="0" fontId="99" fillId="5" borderId="0" applyNumberFormat="0" applyBorder="0" applyAlignment="0" applyProtection="0"/>
    <xf numFmtId="0" fontId="99" fillId="6" borderId="0" applyNumberFormat="0" applyBorder="0" applyAlignment="0" applyProtection="0"/>
    <xf numFmtId="0" fontId="99" fillId="7" borderId="0" applyNumberFormat="0" applyBorder="0" applyAlignment="0" applyProtection="0"/>
    <xf numFmtId="0" fontId="99" fillId="8" borderId="0" applyNumberFormat="0" applyBorder="0" applyAlignment="0" applyProtection="0"/>
    <xf numFmtId="0" fontId="99" fillId="9" borderId="0" applyNumberFormat="0" applyBorder="0" applyAlignment="0" applyProtection="0"/>
    <xf numFmtId="0" fontId="99" fillId="10" borderId="0" applyNumberFormat="0" applyBorder="0" applyAlignment="0" applyProtection="0"/>
    <xf numFmtId="0" fontId="99" fillId="5" borderId="0" applyNumberFormat="0" applyBorder="0" applyAlignment="0" applyProtection="0"/>
    <xf numFmtId="0" fontId="99" fillId="8" borderId="0" applyNumberFormat="0" applyBorder="0" applyAlignment="0" applyProtection="0"/>
    <xf numFmtId="0" fontId="99" fillId="11" borderId="0" applyNumberFormat="0" applyBorder="0" applyAlignment="0" applyProtection="0"/>
    <xf numFmtId="0" fontId="100" fillId="12" borderId="0" applyNumberFormat="0" applyBorder="0" applyAlignment="0" applyProtection="0"/>
    <xf numFmtId="0" fontId="100" fillId="9" borderId="0" applyNumberFormat="0" applyBorder="0" applyAlignment="0" applyProtection="0"/>
    <xf numFmtId="0" fontId="100" fillId="10" borderId="0" applyNumberFormat="0" applyBorder="0" applyAlignment="0" applyProtection="0"/>
    <xf numFmtId="0" fontId="100" fillId="13" borderId="0" applyNumberFormat="0" applyBorder="0" applyAlignment="0" applyProtection="0"/>
    <xf numFmtId="0" fontId="100" fillId="14" borderId="0" applyNumberFormat="0" applyBorder="0" applyAlignment="0" applyProtection="0"/>
    <xf numFmtId="0" fontId="100" fillId="15" borderId="0" applyNumberFormat="0" applyBorder="0" applyAlignment="0" applyProtection="0"/>
    <xf numFmtId="0" fontId="100" fillId="16" borderId="0" applyNumberFormat="0" applyBorder="0" applyAlignment="0" applyProtection="0"/>
    <xf numFmtId="0" fontId="100" fillId="17" borderId="0" applyNumberFormat="0" applyBorder="0" applyAlignment="0" applyProtection="0"/>
    <xf numFmtId="0" fontId="100" fillId="18" borderId="0" applyNumberFormat="0" applyBorder="0" applyAlignment="0" applyProtection="0"/>
    <xf numFmtId="0" fontId="100" fillId="13" borderId="0" applyNumberFormat="0" applyBorder="0" applyAlignment="0" applyProtection="0"/>
    <xf numFmtId="0" fontId="100" fillId="14" borderId="0" applyNumberFormat="0" applyBorder="0" applyAlignment="0" applyProtection="0"/>
    <xf numFmtId="0" fontId="100" fillId="19" borderId="0" applyNumberFormat="0" applyBorder="0" applyAlignment="0" applyProtection="0"/>
    <xf numFmtId="0" fontId="101" fillId="3" borderId="0" applyNumberFormat="0" applyBorder="0" applyAlignment="0" applyProtection="0"/>
    <xf numFmtId="0" fontId="102" fillId="20" borderId="1" applyNumberFormat="0" applyAlignment="0" applyProtection="0"/>
    <xf numFmtId="0" fontId="103" fillId="21" borderId="2" applyNumberFormat="0" applyAlignment="0" applyProtection="0"/>
    <xf numFmtId="0" fontId="104" fillId="0" borderId="0" applyNumberFormat="0" applyFill="0" applyBorder="0" applyAlignment="0" applyProtection="0"/>
    <xf numFmtId="0" fontId="105" fillId="4" borderId="0" applyNumberFormat="0" applyBorder="0" applyAlignment="0" applyProtection="0"/>
    <xf numFmtId="0" fontId="106" fillId="0" borderId="3" applyNumberFormat="0" applyFill="0" applyAlignment="0" applyProtection="0"/>
    <xf numFmtId="0" fontId="107" fillId="0" borderId="4" applyNumberFormat="0" applyFill="0" applyAlignment="0" applyProtection="0"/>
    <xf numFmtId="0" fontId="108" fillId="0" borderId="5" applyNumberFormat="0" applyFill="0" applyAlignment="0" applyProtection="0"/>
    <xf numFmtId="0" fontId="108" fillId="0" borderId="0" applyNumberFormat="0" applyFill="0" applyBorder="0" applyAlignment="0" applyProtection="0"/>
    <xf numFmtId="0" fontId="109" fillId="7" borderId="1" applyNumberFormat="0" applyAlignment="0" applyProtection="0"/>
    <xf numFmtId="0" fontId="110" fillId="0" borderId="6" applyNumberFormat="0" applyFill="0" applyAlignment="0" applyProtection="0"/>
    <xf numFmtId="0" fontId="111" fillId="22" borderId="0" applyNumberFormat="0" applyBorder="0" applyAlignment="0" applyProtection="0"/>
    <xf numFmtId="0" fontId="98" fillId="23" borderId="7" applyNumberFormat="0" applyFont="0" applyAlignment="0" applyProtection="0"/>
    <xf numFmtId="0" fontId="112" fillId="20" borderId="8" applyNumberFormat="0" applyAlignment="0" applyProtection="0"/>
    <xf numFmtId="0" fontId="113" fillId="0" borderId="0" applyNumberFormat="0" applyFill="0" applyBorder="0" applyAlignment="0" applyProtection="0"/>
    <xf numFmtId="0" fontId="114" fillId="0" borderId="9" applyNumberFormat="0" applyFill="0" applyAlignment="0" applyProtection="0"/>
    <xf numFmtId="0" fontId="115" fillId="0" borderId="0" applyNumberFormat="0" applyFill="0" applyBorder="0" applyAlignment="0" applyProtection="0"/>
    <xf numFmtId="0" fontId="116" fillId="0" borderId="0" applyNumberFormat="0" applyFont="0" applyFill="0" applyBorder="0" applyAlignment="0" applyProtection="0"/>
    <xf numFmtId="0" fontId="3" fillId="0" borderId="0"/>
    <xf numFmtId="0" fontId="120" fillId="0" borderId="0" applyNumberFormat="0" applyFont="0" applyFill="0" applyBorder="0" applyAlignment="0" applyProtection="0"/>
    <xf numFmtId="0" fontId="121" fillId="0" borderId="0"/>
    <xf numFmtId="0" fontId="122" fillId="2" borderId="0" applyNumberFormat="0" applyBorder="0" applyAlignment="0" applyProtection="0"/>
    <xf numFmtId="0" fontId="122" fillId="3" borderId="0" applyNumberFormat="0" applyBorder="0" applyAlignment="0" applyProtection="0"/>
    <xf numFmtId="0" fontId="122" fillId="4" borderId="0" applyNumberFormat="0" applyBorder="0" applyAlignment="0" applyProtection="0"/>
    <xf numFmtId="0" fontId="122" fillId="5" borderId="0" applyNumberFormat="0" applyBorder="0" applyAlignment="0" applyProtection="0"/>
    <xf numFmtId="0" fontId="122" fillId="6" borderId="0" applyNumberFormat="0" applyBorder="0" applyAlignment="0" applyProtection="0"/>
    <xf numFmtId="0" fontId="122" fillId="7" borderId="0" applyNumberFormat="0" applyBorder="0" applyAlignment="0" applyProtection="0"/>
    <xf numFmtId="0" fontId="122" fillId="8" borderId="0" applyNumberFormat="0" applyBorder="0" applyAlignment="0" applyProtection="0"/>
    <xf numFmtId="0" fontId="122" fillId="9" borderId="0" applyNumberFormat="0" applyBorder="0" applyAlignment="0" applyProtection="0"/>
    <xf numFmtId="0" fontId="122" fillId="10" borderId="0" applyNumberFormat="0" applyBorder="0" applyAlignment="0" applyProtection="0"/>
    <xf numFmtId="0" fontId="122" fillId="5" borderId="0" applyNumberFormat="0" applyBorder="0" applyAlignment="0" applyProtection="0"/>
    <xf numFmtId="0" fontId="122" fillId="8" borderId="0" applyNumberFormat="0" applyBorder="0" applyAlignment="0" applyProtection="0"/>
    <xf numFmtId="0" fontId="122" fillId="11" borderId="0" applyNumberFormat="0" applyBorder="0" applyAlignment="0" applyProtection="0"/>
    <xf numFmtId="0" fontId="123" fillId="12" borderId="0" applyNumberFormat="0" applyBorder="0" applyAlignment="0" applyProtection="0"/>
    <xf numFmtId="0" fontId="123" fillId="9" borderId="0" applyNumberFormat="0" applyBorder="0" applyAlignment="0" applyProtection="0"/>
    <xf numFmtId="0" fontId="123" fillId="10" borderId="0" applyNumberFormat="0" applyBorder="0" applyAlignment="0" applyProtection="0"/>
    <xf numFmtId="0" fontId="123" fillId="13" borderId="0" applyNumberFormat="0" applyBorder="0" applyAlignment="0" applyProtection="0"/>
    <xf numFmtId="0" fontId="123" fillId="14" borderId="0" applyNumberFormat="0" applyBorder="0" applyAlignment="0" applyProtection="0"/>
    <xf numFmtId="0" fontId="123" fillId="15" borderId="0" applyNumberFormat="0" applyBorder="0" applyAlignment="0" applyProtection="0"/>
    <xf numFmtId="0" fontId="123" fillId="16" borderId="0" applyNumberFormat="0" applyBorder="0" applyAlignment="0" applyProtection="0"/>
    <xf numFmtId="0" fontId="123" fillId="17" borderId="0" applyNumberFormat="0" applyBorder="0" applyAlignment="0" applyProtection="0"/>
    <xf numFmtId="0" fontId="123" fillId="18" borderId="0" applyNumberFormat="0" applyBorder="0" applyAlignment="0" applyProtection="0"/>
    <xf numFmtId="0" fontId="123" fillId="13" borderId="0" applyNumberFormat="0" applyBorder="0" applyAlignment="0" applyProtection="0"/>
    <xf numFmtId="0" fontId="123" fillId="14" borderId="0" applyNumberFormat="0" applyBorder="0" applyAlignment="0" applyProtection="0"/>
    <xf numFmtId="0" fontId="123" fillId="19" borderId="0" applyNumberFormat="0" applyBorder="0" applyAlignment="0" applyProtection="0"/>
    <xf numFmtId="0" fontId="124" fillId="3" borderId="0" applyNumberFormat="0" applyBorder="0" applyAlignment="0" applyProtection="0"/>
    <xf numFmtId="0" fontId="125" fillId="20" borderId="14" applyNumberFormat="0" applyAlignment="0" applyProtection="0"/>
    <xf numFmtId="0" fontId="126" fillId="21" borderId="2" applyNumberFormat="0" applyAlignment="0" applyProtection="0"/>
    <xf numFmtId="0" fontId="127" fillId="0" borderId="0" applyNumberFormat="0" applyFill="0" applyBorder="0" applyAlignment="0" applyProtection="0"/>
    <xf numFmtId="0" fontId="128" fillId="4" borderId="0" applyNumberFormat="0" applyBorder="0" applyAlignment="0" applyProtection="0"/>
    <xf numFmtId="0" fontId="129" fillId="0" borderId="3" applyNumberFormat="0" applyFill="0" applyAlignment="0" applyProtection="0"/>
    <xf numFmtId="0" fontId="130" fillId="0" borderId="4" applyNumberFormat="0" applyFill="0" applyAlignment="0" applyProtection="0"/>
    <xf numFmtId="0" fontId="131" fillId="0" borderId="5" applyNumberFormat="0" applyFill="0" applyAlignment="0" applyProtection="0"/>
    <xf numFmtId="0" fontId="131" fillId="0" borderId="0" applyNumberFormat="0" applyFill="0" applyBorder="0" applyAlignment="0" applyProtection="0"/>
    <xf numFmtId="0" fontId="132" fillId="7" borderId="14" applyNumberFormat="0" applyAlignment="0" applyProtection="0"/>
    <xf numFmtId="0" fontId="133" fillId="0" borderId="6" applyNumberFormat="0" applyFill="0" applyAlignment="0" applyProtection="0"/>
    <xf numFmtId="0" fontId="134" fillId="22" borderId="0" applyNumberFormat="0" applyBorder="0" applyAlignment="0" applyProtection="0"/>
    <xf numFmtId="0" fontId="121" fillId="23" borderId="15" applyNumberFormat="0" applyFont="0" applyAlignment="0" applyProtection="0"/>
    <xf numFmtId="0" fontId="135" fillId="20" borderId="8" applyNumberFormat="0" applyAlignment="0" applyProtection="0"/>
    <xf numFmtId="0" fontId="136" fillId="0" borderId="0" applyNumberFormat="0" applyFill="0" applyBorder="0" applyAlignment="0" applyProtection="0"/>
    <xf numFmtId="0" fontId="137" fillId="0" borderId="9" applyNumberFormat="0" applyFill="0" applyAlignment="0" applyProtection="0"/>
    <xf numFmtId="0" fontId="138" fillId="0" borderId="0" applyNumberFormat="0" applyFill="0" applyBorder="0" applyAlignment="0" applyProtection="0"/>
  </cellStyleXfs>
  <cellXfs count="97">
    <xf numFmtId="0" fontId="0" fillId="0" borderId="0" xfId="0"/>
    <xf numFmtId="0" fontId="1" fillId="0" borderId="0" xfId="0" applyFont="1"/>
    <xf numFmtId="0" fontId="3" fillId="0" borderId="0" xfId="261"/>
    <xf numFmtId="0" fontId="117" fillId="0" borderId="0" xfId="261" applyFont="1"/>
    <xf numFmtId="0" fontId="118" fillId="24" borderId="10" xfId="261" applyFont="1" applyFill="1" applyBorder="1" applyAlignment="1">
      <alignment horizontal="center" vertical="center" wrapText="1"/>
    </xf>
    <xf numFmtId="0" fontId="118" fillId="0" borderId="7" xfId="261" applyFont="1" applyBorder="1" applyAlignment="1">
      <alignment horizontal="left" vertical="center"/>
    </xf>
    <xf numFmtId="0" fontId="118" fillId="0" borderId="7" xfId="261" applyFont="1" applyBorder="1" applyAlignment="1">
      <alignment horizontal="left" vertical="center" wrapText="1"/>
    </xf>
    <xf numFmtId="0" fontId="118" fillId="0" borderId="11" xfId="261" applyFont="1" applyBorder="1" applyAlignment="1">
      <alignment horizontal="left" vertical="center"/>
    </xf>
    <xf numFmtId="0" fontId="118" fillId="25" borderId="7" xfId="261" applyFont="1" applyFill="1" applyBorder="1" applyAlignment="1">
      <alignment horizontal="left" vertical="center"/>
    </xf>
    <xf numFmtId="0" fontId="3" fillId="0" borderId="0" xfId="261" applyAlignment="1">
      <alignment wrapText="1"/>
    </xf>
    <xf numFmtId="49" fontId="119" fillId="0" borderId="12" xfId="261" applyNumberFormat="1" applyFont="1" applyBorder="1" applyAlignment="1">
      <alignment horizontal="left"/>
    </xf>
    <xf numFmtId="0" fontId="118" fillId="0" borderId="11" xfId="1" applyFont="1" applyBorder="1" applyAlignment="1">
      <alignment horizontal="left" vertical="center"/>
    </xf>
    <xf numFmtId="0" fontId="2" fillId="0" borderId="0" xfId="1"/>
    <xf numFmtId="49" fontId="2" fillId="0" borderId="0" xfId="1" quotePrefix="1" applyNumberFormat="1"/>
    <xf numFmtId="0" fontId="0" fillId="0" borderId="0" xfId="0" applyFont="1"/>
    <xf numFmtId="165" fontId="0" fillId="26" borderId="0" xfId="0" applyNumberFormat="1" applyFont="1" applyFill="1"/>
    <xf numFmtId="167" fontId="0" fillId="0" borderId="0" xfId="174" applyNumberFormat="1" applyFont="1"/>
    <xf numFmtId="0" fontId="0" fillId="0" borderId="0" xfId="0" applyFont="1" applyFill="1"/>
    <xf numFmtId="0" fontId="0" fillId="0" borderId="0" xfId="0" applyFont="1" applyAlignment="1">
      <alignment horizontal="center"/>
    </xf>
    <xf numFmtId="0" fontId="143" fillId="0" borderId="13" xfId="0" applyFont="1" applyBorder="1"/>
    <xf numFmtId="165" fontId="143" fillId="0" borderId="13" xfId="174" applyNumberFormat="1" applyFont="1" applyFill="1" applyBorder="1"/>
    <xf numFmtId="167" fontId="143" fillId="0" borderId="13" xfId="0" applyNumberFormat="1" applyFont="1" applyBorder="1"/>
    <xf numFmtId="0" fontId="143" fillId="0" borderId="0" xfId="0" applyFont="1" applyAlignment="1">
      <alignment horizontal="center"/>
    </xf>
    <xf numFmtId="4" fontId="143" fillId="0" borderId="0" xfId="0" applyNumberFormat="1" applyFont="1" applyBorder="1" applyAlignment="1">
      <alignment vertical="center"/>
    </xf>
    <xf numFmtId="165" fontId="143" fillId="27" borderId="0" xfId="174" applyNumberFormat="1" applyFont="1" applyFill="1" applyBorder="1"/>
    <xf numFmtId="0" fontId="143" fillId="0" borderId="0" xfId="0" applyFont="1"/>
    <xf numFmtId="165" fontId="143" fillId="0" borderId="0" xfId="174" applyNumberFormat="1" applyFont="1"/>
    <xf numFmtId="165" fontId="0" fillId="0" borderId="0" xfId="174" applyNumberFormat="1" applyFont="1"/>
    <xf numFmtId="0" fontId="144" fillId="0" borderId="0" xfId="0" applyFont="1" applyAlignment="1">
      <alignment horizontal="center"/>
    </xf>
    <xf numFmtId="4" fontId="144" fillId="0" borderId="0" xfId="0" applyNumberFormat="1" applyFont="1" applyBorder="1" applyAlignment="1">
      <alignment horizontal="center" vertical="center"/>
    </xf>
    <xf numFmtId="165" fontId="144" fillId="0" borderId="0" xfId="174" applyNumberFormat="1" applyFont="1" applyBorder="1" applyAlignment="1">
      <alignment horizontal="center"/>
    </xf>
    <xf numFmtId="165" fontId="141" fillId="0" borderId="0" xfId="174" applyNumberFormat="1" applyFont="1" applyAlignment="1">
      <alignment horizontal="center"/>
    </xf>
    <xf numFmtId="0" fontId="141" fillId="0" borderId="0" xfId="0" applyFont="1" applyAlignment="1">
      <alignment horizontal="center"/>
    </xf>
    <xf numFmtId="0" fontId="145" fillId="0" borderId="0" xfId="0" applyFont="1" applyAlignment="1">
      <alignment horizontal="center"/>
    </xf>
    <xf numFmtId="0" fontId="145" fillId="0" borderId="0" xfId="0" applyFont="1" applyFill="1" applyBorder="1" applyAlignment="1">
      <alignment horizontal="center"/>
    </xf>
    <xf numFmtId="0" fontId="142" fillId="0" borderId="0" xfId="0" applyFont="1"/>
    <xf numFmtId="0" fontId="142" fillId="0" borderId="0" xfId="0" applyFont="1" applyFill="1" applyBorder="1"/>
    <xf numFmtId="0" fontId="142" fillId="0" borderId="0" xfId="0" applyFont="1" applyFill="1"/>
    <xf numFmtId="0" fontId="144" fillId="0" borderId="13" xfId="0" applyFont="1" applyFill="1" applyBorder="1"/>
    <xf numFmtId="165" fontId="144" fillId="0" borderId="13" xfId="0" applyNumberFormat="1" applyFont="1" applyFill="1" applyBorder="1"/>
    <xf numFmtId="166" fontId="144" fillId="0" borderId="13" xfId="0" applyNumberFormat="1" applyFont="1" applyBorder="1"/>
    <xf numFmtId="0" fontId="0" fillId="0" borderId="0" xfId="0" applyFont="1" applyFill="1" applyAlignment="1">
      <alignment horizontal="center"/>
    </xf>
    <xf numFmtId="165" fontId="0" fillId="0" borderId="0" xfId="174" applyNumberFormat="1" applyFont="1" applyBorder="1"/>
    <xf numFmtId="0" fontId="142" fillId="0" borderId="0" xfId="0" applyFont="1" applyFill="1" applyBorder="1" applyAlignment="1">
      <alignment vertical="center"/>
    </xf>
    <xf numFmtId="0" fontId="143" fillId="0" borderId="0" xfId="0" applyNumberFormat="1" applyFont="1" applyFill="1" applyBorder="1" applyAlignment="1" applyProtection="1">
      <alignment horizontal="left" vertical="top"/>
    </xf>
    <xf numFmtId="165" fontId="0" fillId="0" borderId="0" xfId="174" applyNumberFormat="1" applyFont="1" applyFill="1" applyBorder="1"/>
    <xf numFmtId="165" fontId="143" fillId="0" borderId="0" xfId="174" applyNumberFormat="1" applyFont="1" applyFill="1" applyBorder="1"/>
    <xf numFmtId="165" fontId="0" fillId="0" borderId="0" xfId="174" applyNumberFormat="1" applyFont="1" applyFill="1"/>
    <xf numFmtId="0" fontId="0" fillId="0" borderId="0" xfId="0" applyProtection="1">
      <protection locked="0"/>
    </xf>
    <xf numFmtId="0" fontId="146" fillId="28" borderId="16" xfId="0" applyFont="1" applyFill="1" applyBorder="1" applyAlignment="1" applyProtection="1">
      <alignment horizontal="center" vertical="center"/>
      <protection locked="0"/>
    </xf>
    <xf numFmtId="0" fontId="146" fillId="28" borderId="17" xfId="0" applyFont="1" applyFill="1" applyBorder="1" applyAlignment="1" applyProtection="1">
      <alignment horizontal="center" vertical="center"/>
      <protection locked="0"/>
    </xf>
    <xf numFmtId="0" fontId="146" fillId="28" borderId="18" xfId="0" applyFont="1" applyFill="1" applyBorder="1" applyAlignment="1" applyProtection="1">
      <alignment horizontal="center" vertical="center"/>
      <protection locked="0"/>
    </xf>
    <xf numFmtId="0" fontId="147" fillId="30" borderId="19" xfId="0" applyFont="1" applyFill="1" applyBorder="1" applyAlignment="1">
      <alignment horizontal="center" vertical="center"/>
    </xf>
    <xf numFmtId="0" fontId="147" fillId="30" borderId="20" xfId="0" applyFont="1" applyFill="1" applyBorder="1" applyAlignment="1">
      <alignment horizontal="center" vertical="center"/>
    </xf>
    <xf numFmtId="0" fontId="148" fillId="0" borderId="0" xfId="0" applyFont="1" applyAlignment="1">
      <alignment horizontal="left" vertical="top"/>
    </xf>
    <xf numFmtId="0" fontId="149" fillId="31" borderId="19" xfId="0" applyFont="1" applyFill="1" applyBorder="1" applyAlignment="1">
      <alignment horizontal="right" vertical="center"/>
    </xf>
    <xf numFmtId="0" fontId="149" fillId="31" borderId="20" xfId="0" applyFont="1" applyFill="1" applyBorder="1" applyAlignment="1">
      <alignment horizontal="center" vertical="center"/>
    </xf>
    <xf numFmtId="0" fontId="149" fillId="31" borderId="20" xfId="0" applyFont="1" applyFill="1" applyBorder="1" applyAlignment="1">
      <alignment horizontal="left" vertical="center"/>
    </xf>
    <xf numFmtId="0" fontId="150" fillId="31" borderId="21" xfId="0" applyFont="1" applyFill="1" applyBorder="1" applyAlignment="1">
      <alignment horizontal="left" vertical="top"/>
    </xf>
    <xf numFmtId="3" fontId="149" fillId="31" borderId="19" xfId="0" applyNumberFormat="1" applyFont="1" applyFill="1" applyBorder="1" applyAlignment="1">
      <alignment horizontal="right" vertical="center"/>
    </xf>
    <xf numFmtId="3" fontId="149" fillId="31" borderId="20" xfId="0" applyNumberFormat="1" applyFont="1" applyFill="1" applyBorder="1" applyAlignment="1">
      <alignment horizontal="right" vertical="center"/>
    </xf>
    <xf numFmtId="0" fontId="0" fillId="0" borderId="0" xfId="0" applyAlignment="1">
      <alignment vertical="top" wrapText="1"/>
    </xf>
    <xf numFmtId="0" fontId="0" fillId="0" borderId="0" xfId="0" applyAlignment="1">
      <alignment vertical="top"/>
    </xf>
    <xf numFmtId="0" fontId="141" fillId="0" borderId="0" xfId="0" applyFont="1"/>
    <xf numFmtId="4" fontId="143" fillId="32" borderId="0" xfId="0" applyNumberFormat="1" applyFont="1" applyFill="1" applyBorder="1" applyAlignment="1">
      <alignment vertical="center"/>
    </xf>
    <xf numFmtId="0" fontId="143" fillId="32" borderId="0" xfId="0" applyFont="1" applyFill="1"/>
    <xf numFmtId="3" fontId="144" fillId="0" borderId="0" xfId="174" applyNumberFormat="1" applyFont="1" applyBorder="1" applyAlignment="1">
      <alignment horizontal="center"/>
    </xf>
    <xf numFmtId="3" fontId="143" fillId="0" borderId="0" xfId="0" applyNumberFormat="1" applyFont="1"/>
    <xf numFmtId="0" fontId="0" fillId="0" borderId="0" xfId="0" applyFill="1" applyBorder="1"/>
    <xf numFmtId="0" fontId="0" fillId="0" borderId="0" xfId="0" applyFill="1" applyBorder="1" applyAlignment="1">
      <alignment wrapText="1"/>
    </xf>
    <xf numFmtId="0" fontId="155" fillId="0" borderId="22" xfId="0" applyFont="1" applyBorder="1" applyAlignment="1">
      <alignment horizontal="center" vertical="center"/>
    </xf>
    <xf numFmtId="0" fontId="155" fillId="0" borderId="23" xfId="0" applyFont="1" applyBorder="1" applyAlignment="1">
      <alignment horizontal="center" vertical="center"/>
    </xf>
    <xf numFmtId="3" fontId="155" fillId="0" borderId="23" xfId="0" applyNumberFormat="1" applyFont="1" applyBorder="1" applyAlignment="1">
      <alignment horizontal="center" vertical="center"/>
    </xf>
    <xf numFmtId="0" fontId="155" fillId="0" borderId="24" xfId="0" applyFont="1" applyBorder="1" applyAlignment="1">
      <alignment horizontal="center" vertical="center"/>
    </xf>
    <xf numFmtId="3" fontId="156" fillId="0" borderId="25" xfId="0" applyNumberFormat="1" applyFont="1" applyBorder="1" applyAlignment="1">
      <alignment horizontal="right" vertical="top"/>
    </xf>
    <xf numFmtId="3" fontId="156" fillId="0" borderId="25" xfId="0" applyNumberFormat="1" applyFont="1" applyBorder="1" applyAlignment="1">
      <alignment horizontal="left" vertical="center"/>
    </xf>
    <xf numFmtId="3" fontId="156" fillId="0" borderId="25" xfId="0" applyNumberFormat="1" applyFont="1" applyBorder="1" applyAlignment="1">
      <alignment horizontal="left" vertical="top"/>
    </xf>
    <xf numFmtId="3" fontId="156" fillId="0" borderId="26" xfId="0" applyNumberFormat="1" applyFont="1" applyBorder="1" applyAlignment="1">
      <alignment horizontal="right" vertical="top"/>
    </xf>
    <xf numFmtId="3" fontId="156" fillId="0" borderId="25" xfId="0" applyNumberFormat="1" applyFont="1" applyBorder="1" applyAlignment="1">
      <alignment horizontal="right"/>
    </xf>
    <xf numFmtId="3" fontId="156" fillId="0" borderId="25" xfId="0" applyNumberFormat="1" applyFont="1" applyBorder="1" applyAlignment="1">
      <alignment horizontal="left"/>
    </xf>
    <xf numFmtId="3" fontId="156" fillId="0" borderId="26" xfId="0" applyNumberFormat="1" applyFont="1" applyBorder="1" applyAlignment="1">
      <alignment horizontal="right"/>
    </xf>
    <xf numFmtId="0" fontId="0" fillId="0" borderId="27" xfId="0" applyBorder="1" applyAlignment="1">
      <alignment horizontal="center" vertical="center"/>
    </xf>
    <xf numFmtId="0" fontId="0" fillId="0" borderId="27" xfId="0" applyBorder="1" applyAlignment="1">
      <alignment vertical="center"/>
    </xf>
    <xf numFmtId="4" fontId="0" fillId="0" borderId="27" xfId="0" applyNumberFormat="1" applyBorder="1" applyAlignment="1">
      <alignment vertical="center"/>
    </xf>
    <xf numFmtId="0" fontId="151" fillId="29" borderId="27" xfId="0" applyFont="1" applyFill="1" applyBorder="1" applyAlignment="1">
      <alignment horizontal="center" vertical="center"/>
    </xf>
    <xf numFmtId="0" fontId="152" fillId="0" borderId="27" xfId="0" applyFont="1" applyBorder="1" applyAlignment="1">
      <alignment horizontal="center" vertical="center"/>
    </xf>
    <xf numFmtId="0" fontId="152" fillId="0" borderId="27" xfId="0" applyFont="1" applyBorder="1" applyAlignment="1">
      <alignment vertical="center"/>
    </xf>
    <xf numFmtId="4" fontId="152" fillId="0" borderId="27" xfId="0" applyNumberFormat="1" applyFont="1" applyBorder="1" applyAlignment="1">
      <alignment vertical="center"/>
    </xf>
    <xf numFmtId="14" fontId="2" fillId="0" borderId="28" xfId="0" applyNumberFormat="1" applyFont="1" applyBorder="1" applyAlignment="1">
      <alignment horizontal="center"/>
    </xf>
    <xf numFmtId="49" fontId="2" fillId="0" borderId="28" xfId="0" applyNumberFormat="1" applyFont="1" applyBorder="1"/>
    <xf numFmtId="3" fontId="2" fillId="0" borderId="28" xfId="0" applyNumberFormat="1" applyFont="1" applyBorder="1"/>
    <xf numFmtId="0" fontId="157" fillId="0" borderId="0" xfId="0" applyFont="1" applyAlignment="1">
      <alignment vertical="center"/>
    </xf>
    <xf numFmtId="165" fontId="143" fillId="0" borderId="0" xfId="174" applyNumberFormat="1" applyFont="1" applyBorder="1" applyAlignment="1">
      <alignment vertical="center" wrapText="1"/>
    </xf>
    <xf numFmtId="0" fontId="0" fillId="0" borderId="0" xfId="0" applyAlignment="1">
      <alignment wrapText="1"/>
    </xf>
    <xf numFmtId="0" fontId="154" fillId="29" borderId="27" xfId="0" applyFont="1" applyFill="1" applyBorder="1" applyAlignment="1">
      <alignment horizontal="center" vertical="center"/>
    </xf>
    <xf numFmtId="0" fontId="0" fillId="0" borderId="0" xfId="0" applyAlignment="1"/>
    <xf numFmtId="0" fontId="158" fillId="0" borderId="0" xfId="0" applyFont="1"/>
  </cellXfs>
  <cellStyles count="305">
    <cellStyle name="20% - Accent1 2" xfId="3" xr:uid="{00000000-0005-0000-0000-000000000000}"/>
    <cellStyle name="20% - Accent1 3" xfId="47" xr:uid="{00000000-0005-0000-0000-000001000000}"/>
    <cellStyle name="20% - Accent1 4" xfId="89" xr:uid="{00000000-0005-0000-0000-000002000000}"/>
    <cellStyle name="20% - Accent1 5" xfId="132" xr:uid="{00000000-0005-0000-0000-000003000000}"/>
    <cellStyle name="20% - Accent1 6" xfId="176" xr:uid="{00000000-0005-0000-0000-000004000000}"/>
    <cellStyle name="20% - Accent1 7" xfId="219" xr:uid="{00000000-0005-0000-0000-000005000000}"/>
    <cellStyle name="20% - Accent1 8" xfId="264" xr:uid="{00000000-0005-0000-0000-000006000000}"/>
    <cellStyle name="20% - Accent2 2" xfId="4" xr:uid="{00000000-0005-0000-0000-000007000000}"/>
    <cellStyle name="20% - Accent2 3" xfId="48" xr:uid="{00000000-0005-0000-0000-000008000000}"/>
    <cellStyle name="20% - Accent2 4" xfId="90" xr:uid="{00000000-0005-0000-0000-000009000000}"/>
    <cellStyle name="20% - Accent2 5" xfId="133" xr:uid="{00000000-0005-0000-0000-00000A000000}"/>
    <cellStyle name="20% - Accent2 6" xfId="177" xr:uid="{00000000-0005-0000-0000-00000B000000}"/>
    <cellStyle name="20% - Accent2 7" xfId="220" xr:uid="{00000000-0005-0000-0000-00000C000000}"/>
    <cellStyle name="20% - Accent2 8" xfId="265" xr:uid="{00000000-0005-0000-0000-00000D000000}"/>
    <cellStyle name="20% - Accent3 2" xfId="5" xr:uid="{00000000-0005-0000-0000-00000E000000}"/>
    <cellStyle name="20% - Accent3 3" xfId="49" xr:uid="{00000000-0005-0000-0000-00000F000000}"/>
    <cellStyle name="20% - Accent3 4" xfId="91" xr:uid="{00000000-0005-0000-0000-000010000000}"/>
    <cellStyle name="20% - Accent3 5" xfId="134" xr:uid="{00000000-0005-0000-0000-000011000000}"/>
    <cellStyle name="20% - Accent3 6" xfId="178" xr:uid="{00000000-0005-0000-0000-000012000000}"/>
    <cellStyle name="20% - Accent3 7" xfId="221" xr:uid="{00000000-0005-0000-0000-000013000000}"/>
    <cellStyle name="20% - Accent3 8" xfId="266" xr:uid="{00000000-0005-0000-0000-000014000000}"/>
    <cellStyle name="20% - Accent4 2" xfId="6" xr:uid="{00000000-0005-0000-0000-000015000000}"/>
    <cellStyle name="20% - Accent4 3" xfId="50" xr:uid="{00000000-0005-0000-0000-000016000000}"/>
    <cellStyle name="20% - Accent4 4" xfId="92" xr:uid="{00000000-0005-0000-0000-000017000000}"/>
    <cellStyle name="20% - Accent4 5" xfId="135" xr:uid="{00000000-0005-0000-0000-000018000000}"/>
    <cellStyle name="20% - Accent4 6" xfId="179" xr:uid="{00000000-0005-0000-0000-000019000000}"/>
    <cellStyle name="20% - Accent4 7" xfId="222" xr:uid="{00000000-0005-0000-0000-00001A000000}"/>
    <cellStyle name="20% - Accent4 8" xfId="267" xr:uid="{00000000-0005-0000-0000-00001B000000}"/>
    <cellStyle name="20% - Accent5 2" xfId="7" xr:uid="{00000000-0005-0000-0000-00001C000000}"/>
    <cellStyle name="20% - Accent5 3" xfId="51" xr:uid="{00000000-0005-0000-0000-00001D000000}"/>
    <cellStyle name="20% - Accent5 4" xfId="93" xr:uid="{00000000-0005-0000-0000-00001E000000}"/>
    <cellStyle name="20% - Accent5 5" xfId="136" xr:uid="{00000000-0005-0000-0000-00001F000000}"/>
    <cellStyle name="20% - Accent5 6" xfId="180" xr:uid="{00000000-0005-0000-0000-000020000000}"/>
    <cellStyle name="20% - Accent5 7" xfId="223" xr:uid="{00000000-0005-0000-0000-000021000000}"/>
    <cellStyle name="20% - Accent5 8" xfId="268" xr:uid="{00000000-0005-0000-0000-000022000000}"/>
    <cellStyle name="20% - Accent6 2" xfId="8" xr:uid="{00000000-0005-0000-0000-000023000000}"/>
    <cellStyle name="20% - Accent6 3" xfId="52" xr:uid="{00000000-0005-0000-0000-000024000000}"/>
    <cellStyle name="20% - Accent6 4" xfId="94" xr:uid="{00000000-0005-0000-0000-000025000000}"/>
    <cellStyle name="20% - Accent6 5" xfId="137" xr:uid="{00000000-0005-0000-0000-000026000000}"/>
    <cellStyle name="20% - Accent6 6" xfId="181" xr:uid="{00000000-0005-0000-0000-000027000000}"/>
    <cellStyle name="20% - Accent6 7" xfId="224" xr:uid="{00000000-0005-0000-0000-000028000000}"/>
    <cellStyle name="20% - Accent6 8" xfId="269" xr:uid="{00000000-0005-0000-0000-000029000000}"/>
    <cellStyle name="40% - Accent1 2" xfId="9" xr:uid="{00000000-0005-0000-0000-00002A000000}"/>
    <cellStyle name="40% - Accent1 3" xfId="53" xr:uid="{00000000-0005-0000-0000-00002B000000}"/>
    <cellStyle name="40% - Accent1 4" xfId="95" xr:uid="{00000000-0005-0000-0000-00002C000000}"/>
    <cellStyle name="40% - Accent1 5" xfId="138" xr:uid="{00000000-0005-0000-0000-00002D000000}"/>
    <cellStyle name="40% - Accent1 6" xfId="182" xr:uid="{00000000-0005-0000-0000-00002E000000}"/>
    <cellStyle name="40% - Accent1 7" xfId="225" xr:uid="{00000000-0005-0000-0000-00002F000000}"/>
    <cellStyle name="40% - Accent1 8" xfId="270" xr:uid="{00000000-0005-0000-0000-000030000000}"/>
    <cellStyle name="40% - Accent2 2" xfId="10" xr:uid="{00000000-0005-0000-0000-000031000000}"/>
    <cellStyle name="40% - Accent2 3" xfId="54" xr:uid="{00000000-0005-0000-0000-000032000000}"/>
    <cellStyle name="40% - Accent2 4" xfId="96" xr:uid="{00000000-0005-0000-0000-000033000000}"/>
    <cellStyle name="40% - Accent2 5" xfId="139" xr:uid="{00000000-0005-0000-0000-000034000000}"/>
    <cellStyle name="40% - Accent2 6" xfId="183" xr:uid="{00000000-0005-0000-0000-000035000000}"/>
    <cellStyle name="40% - Accent2 7" xfId="226" xr:uid="{00000000-0005-0000-0000-000036000000}"/>
    <cellStyle name="40% - Accent2 8" xfId="271" xr:uid="{00000000-0005-0000-0000-000037000000}"/>
    <cellStyle name="40% - Accent3 2" xfId="11" xr:uid="{00000000-0005-0000-0000-000038000000}"/>
    <cellStyle name="40% - Accent3 3" xfId="55" xr:uid="{00000000-0005-0000-0000-000039000000}"/>
    <cellStyle name="40% - Accent3 4" xfId="97" xr:uid="{00000000-0005-0000-0000-00003A000000}"/>
    <cellStyle name="40% - Accent3 5" xfId="140" xr:uid="{00000000-0005-0000-0000-00003B000000}"/>
    <cellStyle name="40% - Accent3 6" xfId="184" xr:uid="{00000000-0005-0000-0000-00003C000000}"/>
    <cellStyle name="40% - Accent3 7" xfId="227" xr:uid="{00000000-0005-0000-0000-00003D000000}"/>
    <cellStyle name="40% - Accent3 8" xfId="272" xr:uid="{00000000-0005-0000-0000-00003E000000}"/>
    <cellStyle name="40% - Accent4 2" xfId="12" xr:uid="{00000000-0005-0000-0000-00003F000000}"/>
    <cellStyle name="40% - Accent4 3" xfId="56" xr:uid="{00000000-0005-0000-0000-000040000000}"/>
    <cellStyle name="40% - Accent4 4" xfId="98" xr:uid="{00000000-0005-0000-0000-000041000000}"/>
    <cellStyle name="40% - Accent4 5" xfId="141" xr:uid="{00000000-0005-0000-0000-000042000000}"/>
    <cellStyle name="40% - Accent4 6" xfId="185" xr:uid="{00000000-0005-0000-0000-000043000000}"/>
    <cellStyle name="40% - Accent4 7" xfId="228" xr:uid="{00000000-0005-0000-0000-000044000000}"/>
    <cellStyle name="40% - Accent4 8" xfId="273" xr:uid="{00000000-0005-0000-0000-000045000000}"/>
    <cellStyle name="40% - Accent5 2" xfId="13" xr:uid="{00000000-0005-0000-0000-000046000000}"/>
    <cellStyle name="40% - Accent5 3" xfId="57" xr:uid="{00000000-0005-0000-0000-000047000000}"/>
    <cellStyle name="40% - Accent5 4" xfId="99" xr:uid="{00000000-0005-0000-0000-000048000000}"/>
    <cellStyle name="40% - Accent5 5" xfId="142" xr:uid="{00000000-0005-0000-0000-000049000000}"/>
    <cellStyle name="40% - Accent5 6" xfId="186" xr:uid="{00000000-0005-0000-0000-00004A000000}"/>
    <cellStyle name="40% - Accent5 7" xfId="229" xr:uid="{00000000-0005-0000-0000-00004B000000}"/>
    <cellStyle name="40% - Accent5 8" xfId="274" xr:uid="{00000000-0005-0000-0000-00004C000000}"/>
    <cellStyle name="40% - Accent6 2" xfId="14" xr:uid="{00000000-0005-0000-0000-00004D000000}"/>
    <cellStyle name="40% - Accent6 3" xfId="58" xr:uid="{00000000-0005-0000-0000-00004E000000}"/>
    <cellStyle name="40% - Accent6 4" xfId="100" xr:uid="{00000000-0005-0000-0000-00004F000000}"/>
    <cellStyle name="40% - Accent6 5" xfId="143" xr:uid="{00000000-0005-0000-0000-000050000000}"/>
    <cellStyle name="40% - Accent6 6" xfId="187" xr:uid="{00000000-0005-0000-0000-000051000000}"/>
    <cellStyle name="40% - Accent6 7" xfId="230" xr:uid="{00000000-0005-0000-0000-000052000000}"/>
    <cellStyle name="40% - Accent6 8" xfId="275" xr:uid="{00000000-0005-0000-0000-000053000000}"/>
    <cellStyle name="60% - Accent1 2" xfId="15" xr:uid="{00000000-0005-0000-0000-000054000000}"/>
    <cellStyle name="60% - Accent1 3" xfId="59" xr:uid="{00000000-0005-0000-0000-000055000000}"/>
    <cellStyle name="60% - Accent1 4" xfId="101" xr:uid="{00000000-0005-0000-0000-000056000000}"/>
    <cellStyle name="60% - Accent1 5" xfId="144" xr:uid="{00000000-0005-0000-0000-000057000000}"/>
    <cellStyle name="60% - Accent1 6" xfId="188" xr:uid="{00000000-0005-0000-0000-000058000000}"/>
    <cellStyle name="60% - Accent1 7" xfId="231" xr:uid="{00000000-0005-0000-0000-000059000000}"/>
    <cellStyle name="60% - Accent1 8" xfId="276" xr:uid="{00000000-0005-0000-0000-00005A000000}"/>
    <cellStyle name="60% - Accent2 2" xfId="16" xr:uid="{00000000-0005-0000-0000-00005B000000}"/>
    <cellStyle name="60% - Accent2 3" xfId="60" xr:uid="{00000000-0005-0000-0000-00005C000000}"/>
    <cellStyle name="60% - Accent2 4" xfId="102" xr:uid="{00000000-0005-0000-0000-00005D000000}"/>
    <cellStyle name="60% - Accent2 5" xfId="145" xr:uid="{00000000-0005-0000-0000-00005E000000}"/>
    <cellStyle name="60% - Accent2 6" xfId="189" xr:uid="{00000000-0005-0000-0000-00005F000000}"/>
    <cellStyle name="60% - Accent2 7" xfId="232" xr:uid="{00000000-0005-0000-0000-000060000000}"/>
    <cellStyle name="60% - Accent2 8" xfId="277" xr:uid="{00000000-0005-0000-0000-000061000000}"/>
    <cellStyle name="60% - Accent3 2" xfId="17" xr:uid="{00000000-0005-0000-0000-000062000000}"/>
    <cellStyle name="60% - Accent3 3" xfId="61" xr:uid="{00000000-0005-0000-0000-000063000000}"/>
    <cellStyle name="60% - Accent3 4" xfId="103" xr:uid="{00000000-0005-0000-0000-000064000000}"/>
    <cellStyle name="60% - Accent3 5" xfId="146" xr:uid="{00000000-0005-0000-0000-000065000000}"/>
    <cellStyle name="60% - Accent3 6" xfId="190" xr:uid="{00000000-0005-0000-0000-000066000000}"/>
    <cellStyle name="60% - Accent3 7" xfId="233" xr:uid="{00000000-0005-0000-0000-000067000000}"/>
    <cellStyle name="60% - Accent3 8" xfId="278" xr:uid="{00000000-0005-0000-0000-000068000000}"/>
    <cellStyle name="60% - Accent4 2" xfId="18" xr:uid="{00000000-0005-0000-0000-000069000000}"/>
    <cellStyle name="60% - Accent4 3" xfId="62" xr:uid="{00000000-0005-0000-0000-00006A000000}"/>
    <cellStyle name="60% - Accent4 4" xfId="104" xr:uid="{00000000-0005-0000-0000-00006B000000}"/>
    <cellStyle name="60% - Accent4 5" xfId="147" xr:uid="{00000000-0005-0000-0000-00006C000000}"/>
    <cellStyle name="60% - Accent4 6" xfId="191" xr:uid="{00000000-0005-0000-0000-00006D000000}"/>
    <cellStyle name="60% - Accent4 7" xfId="234" xr:uid="{00000000-0005-0000-0000-00006E000000}"/>
    <cellStyle name="60% - Accent4 8" xfId="279" xr:uid="{00000000-0005-0000-0000-00006F000000}"/>
    <cellStyle name="60% - Accent5 2" xfId="19" xr:uid="{00000000-0005-0000-0000-000070000000}"/>
    <cellStyle name="60% - Accent5 3" xfId="63" xr:uid="{00000000-0005-0000-0000-000071000000}"/>
    <cellStyle name="60% - Accent5 4" xfId="105" xr:uid="{00000000-0005-0000-0000-000072000000}"/>
    <cellStyle name="60% - Accent5 5" xfId="148" xr:uid="{00000000-0005-0000-0000-000073000000}"/>
    <cellStyle name="60% - Accent5 6" xfId="192" xr:uid="{00000000-0005-0000-0000-000074000000}"/>
    <cellStyle name="60% - Accent5 7" xfId="235" xr:uid="{00000000-0005-0000-0000-000075000000}"/>
    <cellStyle name="60% - Accent5 8" xfId="280" xr:uid="{00000000-0005-0000-0000-000076000000}"/>
    <cellStyle name="60% - Accent6 2" xfId="20" xr:uid="{00000000-0005-0000-0000-000077000000}"/>
    <cellStyle name="60% - Accent6 3" xfId="64" xr:uid="{00000000-0005-0000-0000-000078000000}"/>
    <cellStyle name="60% - Accent6 4" xfId="106" xr:uid="{00000000-0005-0000-0000-000079000000}"/>
    <cellStyle name="60% - Accent6 5" xfId="149" xr:uid="{00000000-0005-0000-0000-00007A000000}"/>
    <cellStyle name="60% - Accent6 6" xfId="193" xr:uid="{00000000-0005-0000-0000-00007B000000}"/>
    <cellStyle name="60% - Accent6 7" xfId="236" xr:uid="{00000000-0005-0000-0000-00007C000000}"/>
    <cellStyle name="60% - Accent6 8" xfId="281" xr:uid="{00000000-0005-0000-0000-00007D000000}"/>
    <cellStyle name="Accent1 2" xfId="21" xr:uid="{00000000-0005-0000-0000-00007E000000}"/>
    <cellStyle name="Accent1 3" xfId="65" xr:uid="{00000000-0005-0000-0000-00007F000000}"/>
    <cellStyle name="Accent1 4" xfId="107" xr:uid="{00000000-0005-0000-0000-000080000000}"/>
    <cellStyle name="Accent1 5" xfId="150" xr:uid="{00000000-0005-0000-0000-000081000000}"/>
    <cellStyle name="Accent1 6" xfId="194" xr:uid="{00000000-0005-0000-0000-000082000000}"/>
    <cellStyle name="Accent1 7" xfId="237" xr:uid="{00000000-0005-0000-0000-000083000000}"/>
    <cellStyle name="Accent1 8" xfId="282" xr:uid="{00000000-0005-0000-0000-000084000000}"/>
    <cellStyle name="Accent2 2" xfId="22" xr:uid="{00000000-0005-0000-0000-000085000000}"/>
    <cellStyle name="Accent2 3" xfId="66" xr:uid="{00000000-0005-0000-0000-000086000000}"/>
    <cellStyle name="Accent2 4" xfId="108" xr:uid="{00000000-0005-0000-0000-000087000000}"/>
    <cellStyle name="Accent2 5" xfId="151" xr:uid="{00000000-0005-0000-0000-000088000000}"/>
    <cellStyle name="Accent2 6" xfId="195" xr:uid="{00000000-0005-0000-0000-000089000000}"/>
    <cellStyle name="Accent2 7" xfId="238" xr:uid="{00000000-0005-0000-0000-00008A000000}"/>
    <cellStyle name="Accent2 8" xfId="283" xr:uid="{00000000-0005-0000-0000-00008B000000}"/>
    <cellStyle name="Accent3 2" xfId="23" xr:uid="{00000000-0005-0000-0000-00008C000000}"/>
    <cellStyle name="Accent3 3" xfId="67" xr:uid="{00000000-0005-0000-0000-00008D000000}"/>
    <cellStyle name="Accent3 4" xfId="109" xr:uid="{00000000-0005-0000-0000-00008E000000}"/>
    <cellStyle name="Accent3 5" xfId="152" xr:uid="{00000000-0005-0000-0000-00008F000000}"/>
    <cellStyle name="Accent3 6" xfId="196" xr:uid="{00000000-0005-0000-0000-000090000000}"/>
    <cellStyle name="Accent3 7" xfId="239" xr:uid="{00000000-0005-0000-0000-000091000000}"/>
    <cellStyle name="Accent3 8" xfId="284" xr:uid="{00000000-0005-0000-0000-000092000000}"/>
    <cellStyle name="Accent4 2" xfId="24" xr:uid="{00000000-0005-0000-0000-000093000000}"/>
    <cellStyle name="Accent4 3" xfId="68" xr:uid="{00000000-0005-0000-0000-000094000000}"/>
    <cellStyle name="Accent4 4" xfId="110" xr:uid="{00000000-0005-0000-0000-000095000000}"/>
    <cellStyle name="Accent4 5" xfId="153" xr:uid="{00000000-0005-0000-0000-000096000000}"/>
    <cellStyle name="Accent4 6" xfId="197" xr:uid="{00000000-0005-0000-0000-000097000000}"/>
    <cellStyle name="Accent4 7" xfId="240" xr:uid="{00000000-0005-0000-0000-000098000000}"/>
    <cellStyle name="Accent4 8" xfId="285" xr:uid="{00000000-0005-0000-0000-000099000000}"/>
    <cellStyle name="Accent5 2" xfId="25" xr:uid="{00000000-0005-0000-0000-00009A000000}"/>
    <cellStyle name="Accent5 3" xfId="69" xr:uid="{00000000-0005-0000-0000-00009B000000}"/>
    <cellStyle name="Accent5 4" xfId="111" xr:uid="{00000000-0005-0000-0000-00009C000000}"/>
    <cellStyle name="Accent5 5" xfId="154" xr:uid="{00000000-0005-0000-0000-00009D000000}"/>
    <cellStyle name="Accent5 6" xfId="198" xr:uid="{00000000-0005-0000-0000-00009E000000}"/>
    <cellStyle name="Accent5 7" xfId="241" xr:uid="{00000000-0005-0000-0000-00009F000000}"/>
    <cellStyle name="Accent5 8" xfId="286" xr:uid="{00000000-0005-0000-0000-0000A0000000}"/>
    <cellStyle name="Accent6 2" xfId="26" xr:uid="{00000000-0005-0000-0000-0000A1000000}"/>
    <cellStyle name="Accent6 3" xfId="70" xr:uid="{00000000-0005-0000-0000-0000A2000000}"/>
    <cellStyle name="Accent6 4" xfId="112" xr:uid="{00000000-0005-0000-0000-0000A3000000}"/>
    <cellStyle name="Accent6 5" xfId="155" xr:uid="{00000000-0005-0000-0000-0000A4000000}"/>
    <cellStyle name="Accent6 6" xfId="199" xr:uid="{00000000-0005-0000-0000-0000A5000000}"/>
    <cellStyle name="Accent6 7" xfId="242" xr:uid="{00000000-0005-0000-0000-0000A6000000}"/>
    <cellStyle name="Accent6 8" xfId="287" xr:uid="{00000000-0005-0000-0000-0000A7000000}"/>
    <cellStyle name="Bad 2" xfId="27" xr:uid="{00000000-0005-0000-0000-0000A8000000}"/>
    <cellStyle name="Bad 3" xfId="71" xr:uid="{00000000-0005-0000-0000-0000A9000000}"/>
    <cellStyle name="Bad 4" xfId="113" xr:uid="{00000000-0005-0000-0000-0000AA000000}"/>
    <cellStyle name="Bad 5" xfId="156" xr:uid="{00000000-0005-0000-0000-0000AB000000}"/>
    <cellStyle name="Bad 6" xfId="200" xr:uid="{00000000-0005-0000-0000-0000AC000000}"/>
    <cellStyle name="Bad 7" xfId="243" xr:uid="{00000000-0005-0000-0000-0000AD000000}"/>
    <cellStyle name="Bad 8" xfId="288" xr:uid="{00000000-0005-0000-0000-0000AE000000}"/>
    <cellStyle name="Calculation 2" xfId="28" xr:uid="{00000000-0005-0000-0000-0000AF000000}"/>
    <cellStyle name="Calculation 3" xfId="72" xr:uid="{00000000-0005-0000-0000-0000B0000000}"/>
    <cellStyle name="Calculation 4" xfId="114" xr:uid="{00000000-0005-0000-0000-0000B1000000}"/>
    <cellStyle name="Calculation 5" xfId="157" xr:uid="{00000000-0005-0000-0000-0000B2000000}"/>
    <cellStyle name="Calculation 6" xfId="201" xr:uid="{00000000-0005-0000-0000-0000B3000000}"/>
    <cellStyle name="Calculation 7" xfId="244" xr:uid="{00000000-0005-0000-0000-0000B4000000}"/>
    <cellStyle name="Calculation 8" xfId="289" xr:uid="{00000000-0005-0000-0000-0000B5000000}"/>
    <cellStyle name="Check Cell 2" xfId="29" xr:uid="{00000000-0005-0000-0000-0000B6000000}"/>
    <cellStyle name="Check Cell 3" xfId="73" xr:uid="{00000000-0005-0000-0000-0000B7000000}"/>
    <cellStyle name="Check Cell 4" xfId="115" xr:uid="{00000000-0005-0000-0000-0000B8000000}"/>
    <cellStyle name="Check Cell 5" xfId="158" xr:uid="{00000000-0005-0000-0000-0000B9000000}"/>
    <cellStyle name="Check Cell 6" xfId="202" xr:uid="{00000000-0005-0000-0000-0000BA000000}"/>
    <cellStyle name="Check Cell 7" xfId="245" xr:uid="{00000000-0005-0000-0000-0000BB000000}"/>
    <cellStyle name="Check Cell 8" xfId="290" xr:uid="{00000000-0005-0000-0000-0000BC000000}"/>
    <cellStyle name="Comma" xfId="174" builtinId="3"/>
    <cellStyle name="Explanatory Text 2" xfId="30" xr:uid="{00000000-0005-0000-0000-0000BE000000}"/>
    <cellStyle name="Explanatory Text 3" xfId="74" xr:uid="{00000000-0005-0000-0000-0000BF000000}"/>
    <cellStyle name="Explanatory Text 4" xfId="116" xr:uid="{00000000-0005-0000-0000-0000C0000000}"/>
    <cellStyle name="Explanatory Text 5" xfId="159" xr:uid="{00000000-0005-0000-0000-0000C1000000}"/>
    <cellStyle name="Explanatory Text 6" xfId="203" xr:uid="{00000000-0005-0000-0000-0000C2000000}"/>
    <cellStyle name="Explanatory Text 7" xfId="246" xr:uid="{00000000-0005-0000-0000-0000C3000000}"/>
    <cellStyle name="Explanatory Text 8" xfId="291" xr:uid="{00000000-0005-0000-0000-0000C4000000}"/>
    <cellStyle name="Good 2" xfId="31" xr:uid="{00000000-0005-0000-0000-0000C5000000}"/>
    <cellStyle name="Good 3" xfId="75" xr:uid="{00000000-0005-0000-0000-0000C6000000}"/>
    <cellStyle name="Good 4" xfId="117" xr:uid="{00000000-0005-0000-0000-0000C7000000}"/>
    <cellStyle name="Good 5" xfId="160" xr:uid="{00000000-0005-0000-0000-0000C8000000}"/>
    <cellStyle name="Good 6" xfId="204" xr:uid="{00000000-0005-0000-0000-0000C9000000}"/>
    <cellStyle name="Good 7" xfId="247" xr:uid="{00000000-0005-0000-0000-0000CA000000}"/>
    <cellStyle name="Good 8" xfId="292" xr:uid="{00000000-0005-0000-0000-0000CB000000}"/>
    <cellStyle name="Heading 1 2" xfId="32" xr:uid="{00000000-0005-0000-0000-0000CC000000}"/>
    <cellStyle name="Heading 1 3" xfId="76" xr:uid="{00000000-0005-0000-0000-0000CD000000}"/>
    <cellStyle name="Heading 1 4" xfId="118" xr:uid="{00000000-0005-0000-0000-0000CE000000}"/>
    <cellStyle name="Heading 1 5" xfId="161" xr:uid="{00000000-0005-0000-0000-0000CF000000}"/>
    <cellStyle name="Heading 1 6" xfId="205" xr:uid="{00000000-0005-0000-0000-0000D0000000}"/>
    <cellStyle name="Heading 1 7" xfId="248" xr:uid="{00000000-0005-0000-0000-0000D1000000}"/>
    <cellStyle name="Heading 1 8" xfId="293" xr:uid="{00000000-0005-0000-0000-0000D2000000}"/>
    <cellStyle name="Heading 2 2" xfId="33" xr:uid="{00000000-0005-0000-0000-0000D3000000}"/>
    <cellStyle name="Heading 2 3" xfId="77" xr:uid="{00000000-0005-0000-0000-0000D4000000}"/>
    <cellStyle name="Heading 2 4" xfId="119" xr:uid="{00000000-0005-0000-0000-0000D5000000}"/>
    <cellStyle name="Heading 2 5" xfId="162" xr:uid="{00000000-0005-0000-0000-0000D6000000}"/>
    <cellStyle name="Heading 2 6" xfId="206" xr:uid="{00000000-0005-0000-0000-0000D7000000}"/>
    <cellStyle name="Heading 2 7" xfId="249" xr:uid="{00000000-0005-0000-0000-0000D8000000}"/>
    <cellStyle name="Heading 2 8" xfId="294" xr:uid="{00000000-0005-0000-0000-0000D9000000}"/>
    <cellStyle name="Heading 3 2" xfId="34" xr:uid="{00000000-0005-0000-0000-0000DA000000}"/>
    <cellStyle name="Heading 3 3" xfId="78" xr:uid="{00000000-0005-0000-0000-0000DB000000}"/>
    <cellStyle name="Heading 3 4" xfId="120" xr:uid="{00000000-0005-0000-0000-0000DC000000}"/>
    <cellStyle name="Heading 3 5" xfId="163" xr:uid="{00000000-0005-0000-0000-0000DD000000}"/>
    <cellStyle name="Heading 3 6" xfId="207" xr:uid="{00000000-0005-0000-0000-0000DE000000}"/>
    <cellStyle name="Heading 3 7" xfId="250" xr:uid="{00000000-0005-0000-0000-0000DF000000}"/>
    <cellStyle name="Heading 3 8" xfId="295" xr:uid="{00000000-0005-0000-0000-0000E0000000}"/>
    <cellStyle name="Heading 4 2" xfId="35" xr:uid="{00000000-0005-0000-0000-0000E1000000}"/>
    <cellStyle name="Heading 4 3" xfId="79" xr:uid="{00000000-0005-0000-0000-0000E2000000}"/>
    <cellStyle name="Heading 4 4" xfId="121" xr:uid="{00000000-0005-0000-0000-0000E3000000}"/>
    <cellStyle name="Heading 4 5" xfId="164" xr:uid="{00000000-0005-0000-0000-0000E4000000}"/>
    <cellStyle name="Heading 4 6" xfId="208" xr:uid="{00000000-0005-0000-0000-0000E5000000}"/>
    <cellStyle name="Heading 4 7" xfId="251" xr:uid="{00000000-0005-0000-0000-0000E6000000}"/>
    <cellStyle name="Heading 4 8" xfId="296" xr:uid="{00000000-0005-0000-0000-0000E7000000}"/>
    <cellStyle name="Input 2" xfId="36" xr:uid="{00000000-0005-0000-0000-0000E8000000}"/>
    <cellStyle name="Input 3" xfId="80" xr:uid="{00000000-0005-0000-0000-0000E9000000}"/>
    <cellStyle name="Input 4" xfId="122" xr:uid="{00000000-0005-0000-0000-0000EA000000}"/>
    <cellStyle name="Input 5" xfId="165" xr:uid="{00000000-0005-0000-0000-0000EB000000}"/>
    <cellStyle name="Input 6" xfId="209" xr:uid="{00000000-0005-0000-0000-0000EC000000}"/>
    <cellStyle name="Input 7" xfId="252" xr:uid="{00000000-0005-0000-0000-0000ED000000}"/>
    <cellStyle name="Input 8" xfId="297" xr:uid="{00000000-0005-0000-0000-0000EE000000}"/>
    <cellStyle name="Linked Cell 2" xfId="37" xr:uid="{00000000-0005-0000-0000-0000EF000000}"/>
    <cellStyle name="Linked Cell 3" xfId="81" xr:uid="{00000000-0005-0000-0000-0000F0000000}"/>
    <cellStyle name="Linked Cell 4" xfId="123" xr:uid="{00000000-0005-0000-0000-0000F1000000}"/>
    <cellStyle name="Linked Cell 5" xfId="166" xr:uid="{00000000-0005-0000-0000-0000F2000000}"/>
    <cellStyle name="Linked Cell 6" xfId="210" xr:uid="{00000000-0005-0000-0000-0000F3000000}"/>
    <cellStyle name="Linked Cell 7" xfId="253" xr:uid="{00000000-0005-0000-0000-0000F4000000}"/>
    <cellStyle name="Linked Cell 8" xfId="298" xr:uid="{00000000-0005-0000-0000-0000F5000000}"/>
    <cellStyle name="Neutral 2" xfId="38" xr:uid="{00000000-0005-0000-0000-0000F6000000}"/>
    <cellStyle name="Neutral 3" xfId="82" xr:uid="{00000000-0005-0000-0000-0000F7000000}"/>
    <cellStyle name="Neutral 4" xfId="124" xr:uid="{00000000-0005-0000-0000-0000F8000000}"/>
    <cellStyle name="Neutral 5" xfId="167" xr:uid="{00000000-0005-0000-0000-0000F9000000}"/>
    <cellStyle name="Neutral 6" xfId="211" xr:uid="{00000000-0005-0000-0000-0000FA000000}"/>
    <cellStyle name="Neutral 7" xfId="254" xr:uid="{00000000-0005-0000-0000-0000FB000000}"/>
    <cellStyle name="Neutral 8" xfId="299" xr:uid="{00000000-0005-0000-0000-0000FC000000}"/>
    <cellStyle name="Normal" xfId="0" builtinId="0"/>
    <cellStyle name="Normal 10" xfId="173" xr:uid="{00000000-0005-0000-0000-0000FE000000}"/>
    <cellStyle name="Normal 11" xfId="175" xr:uid="{00000000-0005-0000-0000-0000FF000000}"/>
    <cellStyle name="Normal 12" xfId="217" xr:uid="{00000000-0005-0000-0000-000000010000}"/>
    <cellStyle name="Normal 13" xfId="218" xr:uid="{00000000-0005-0000-0000-000001010000}"/>
    <cellStyle name="Normal 14" xfId="260" xr:uid="{00000000-0005-0000-0000-000002010000}"/>
    <cellStyle name="Normal 15" xfId="262" xr:uid="{00000000-0005-0000-0000-000003010000}"/>
    <cellStyle name="Normal 16" xfId="263" xr:uid="{00000000-0005-0000-0000-000004010000}"/>
    <cellStyle name="Normal 2" xfId="1" xr:uid="{00000000-0005-0000-0000-000005010000}"/>
    <cellStyle name="Normal 2 2" xfId="261" xr:uid="{00000000-0005-0000-0000-000006010000}"/>
    <cellStyle name="Normal 3" xfId="2" xr:uid="{00000000-0005-0000-0000-000007010000}"/>
    <cellStyle name="Normal 4" xfId="44" xr:uid="{00000000-0005-0000-0000-000008010000}"/>
    <cellStyle name="Normal 5" xfId="45" xr:uid="{00000000-0005-0000-0000-000009010000}"/>
    <cellStyle name="Normal 6" xfId="46" xr:uid="{00000000-0005-0000-0000-00000A010000}"/>
    <cellStyle name="Normal 7" xfId="88" xr:uid="{00000000-0005-0000-0000-00000B010000}"/>
    <cellStyle name="Normal 8" xfId="130" xr:uid="{00000000-0005-0000-0000-00000C010000}"/>
    <cellStyle name="Normal 9" xfId="131" xr:uid="{00000000-0005-0000-0000-00000D010000}"/>
    <cellStyle name="Note 2" xfId="39" xr:uid="{00000000-0005-0000-0000-00000E010000}"/>
    <cellStyle name="Note 3" xfId="83" xr:uid="{00000000-0005-0000-0000-00000F010000}"/>
    <cellStyle name="Note 4" xfId="125" xr:uid="{00000000-0005-0000-0000-000010010000}"/>
    <cellStyle name="Note 5" xfId="168" xr:uid="{00000000-0005-0000-0000-000011010000}"/>
    <cellStyle name="Note 6" xfId="212" xr:uid="{00000000-0005-0000-0000-000012010000}"/>
    <cellStyle name="Note 7" xfId="255" xr:uid="{00000000-0005-0000-0000-000013010000}"/>
    <cellStyle name="Note 8" xfId="300" xr:uid="{00000000-0005-0000-0000-000014010000}"/>
    <cellStyle name="Output 2" xfId="40" xr:uid="{00000000-0005-0000-0000-000015010000}"/>
    <cellStyle name="Output 3" xfId="84" xr:uid="{00000000-0005-0000-0000-000016010000}"/>
    <cellStyle name="Output 4" xfId="126" xr:uid="{00000000-0005-0000-0000-000017010000}"/>
    <cellStyle name="Output 5" xfId="169" xr:uid="{00000000-0005-0000-0000-000018010000}"/>
    <cellStyle name="Output 6" xfId="213" xr:uid="{00000000-0005-0000-0000-000019010000}"/>
    <cellStyle name="Output 7" xfId="256" xr:uid="{00000000-0005-0000-0000-00001A010000}"/>
    <cellStyle name="Output 8" xfId="301" xr:uid="{00000000-0005-0000-0000-00001B010000}"/>
    <cellStyle name="Title 2" xfId="41" xr:uid="{00000000-0005-0000-0000-00001C010000}"/>
    <cellStyle name="Title 3" xfId="85" xr:uid="{00000000-0005-0000-0000-00001D010000}"/>
    <cellStyle name="Title 4" xfId="127" xr:uid="{00000000-0005-0000-0000-00001E010000}"/>
    <cellStyle name="Title 5" xfId="170" xr:uid="{00000000-0005-0000-0000-00001F010000}"/>
    <cellStyle name="Title 6" xfId="214" xr:uid="{00000000-0005-0000-0000-000020010000}"/>
    <cellStyle name="Title 7" xfId="257" xr:uid="{00000000-0005-0000-0000-000021010000}"/>
    <cellStyle name="Title 8" xfId="302" xr:uid="{00000000-0005-0000-0000-000022010000}"/>
    <cellStyle name="Total 2" xfId="42" xr:uid="{00000000-0005-0000-0000-000023010000}"/>
    <cellStyle name="Total 3" xfId="86" xr:uid="{00000000-0005-0000-0000-000024010000}"/>
    <cellStyle name="Total 4" xfId="128" xr:uid="{00000000-0005-0000-0000-000025010000}"/>
    <cellStyle name="Total 5" xfId="171" xr:uid="{00000000-0005-0000-0000-000026010000}"/>
    <cellStyle name="Total 6" xfId="215" xr:uid="{00000000-0005-0000-0000-000027010000}"/>
    <cellStyle name="Total 7" xfId="258" xr:uid="{00000000-0005-0000-0000-000028010000}"/>
    <cellStyle name="Total 8" xfId="303" xr:uid="{00000000-0005-0000-0000-000029010000}"/>
    <cellStyle name="Warning Text 2" xfId="43" xr:uid="{00000000-0005-0000-0000-00002A010000}"/>
    <cellStyle name="Warning Text 3" xfId="87" xr:uid="{00000000-0005-0000-0000-00002B010000}"/>
    <cellStyle name="Warning Text 4" xfId="129" xr:uid="{00000000-0005-0000-0000-00002C010000}"/>
    <cellStyle name="Warning Text 5" xfId="172" xr:uid="{00000000-0005-0000-0000-00002D010000}"/>
    <cellStyle name="Warning Text 6" xfId="216" xr:uid="{00000000-0005-0000-0000-00002E010000}"/>
    <cellStyle name="Warning Text 7" xfId="259" xr:uid="{00000000-0005-0000-0000-00002F010000}"/>
    <cellStyle name="Warning Text 8" xfId="304" xr:uid="{00000000-0005-0000-0000-000030010000}"/>
  </cellStyles>
  <dxfs count="2">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1356360</xdr:colOff>
      <xdr:row>6</xdr:row>
      <xdr:rowOff>137160</xdr:rowOff>
    </xdr:from>
    <xdr:to>
      <xdr:col>1</xdr:col>
      <xdr:colOff>1501140</xdr:colOff>
      <xdr:row>10</xdr:row>
      <xdr:rowOff>91440</xdr:rowOff>
    </xdr:to>
    <xdr:sp macro="[0]!GhepSaoKeTong" textlink="">
      <xdr:nvSpPr>
        <xdr:cNvPr id="2" name="Rectangle 1">
          <a:extLst>
            <a:ext uri="{FF2B5EF4-FFF2-40B4-BE49-F238E27FC236}">
              <a16:creationId xmlns:a16="http://schemas.microsoft.com/office/drawing/2014/main" id="{36800ADB-4B97-4D39-A1CF-84098A8E2CC7}"/>
            </a:ext>
          </a:extLst>
        </xdr:cNvPr>
        <xdr:cNvSpPr/>
      </xdr:nvSpPr>
      <xdr:spPr>
        <a:xfrm>
          <a:off x="1356360" y="2232660"/>
          <a:ext cx="2529840" cy="685800"/>
        </a:xfrm>
        <a:prstGeom prst="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XỬ</a:t>
          </a:r>
          <a:r>
            <a:rPr lang="en-US" sz="2000" b="1" baseline="0"/>
            <a:t> LÝ SAO KÊ</a:t>
          </a:r>
          <a:endParaRPr lang="en-US" sz="20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95250</xdr:colOff>
      <xdr:row>10</xdr:row>
      <xdr:rowOff>114299</xdr:rowOff>
    </xdr:from>
    <xdr:to>
      <xdr:col>5</xdr:col>
      <xdr:colOff>552450</xdr:colOff>
      <xdr:row>40</xdr:row>
      <xdr:rowOff>95914</xdr:rowOff>
    </xdr:to>
    <xdr:pic>
      <xdr:nvPicPr>
        <xdr:cNvPr id="2" name="Picture 1">
          <a:extLst>
            <a:ext uri="{FF2B5EF4-FFF2-40B4-BE49-F238E27FC236}">
              <a16:creationId xmlns:a16="http://schemas.microsoft.com/office/drawing/2014/main" id="{852F90CE-7D93-4ACF-9074-7CDDEE475AE4}"/>
            </a:ext>
          </a:extLst>
        </xdr:cNvPr>
        <xdr:cNvPicPr>
          <a:picLocks noChangeAspect="1"/>
        </xdr:cNvPicPr>
      </xdr:nvPicPr>
      <xdr:blipFill>
        <a:blip xmlns:r="http://schemas.openxmlformats.org/officeDocument/2006/relationships" r:embed="rId1"/>
        <a:stretch>
          <a:fillRect/>
        </a:stretch>
      </xdr:blipFill>
      <xdr:spPr>
        <a:xfrm>
          <a:off x="457200" y="2590799"/>
          <a:ext cx="6153150" cy="569661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
  <sheetViews>
    <sheetView workbookViewId="0">
      <selection activeCell="B4" sqref="B4"/>
    </sheetView>
  </sheetViews>
  <sheetFormatPr defaultRowHeight="15"/>
  <cols>
    <col min="1" max="1" width="44.42578125" customWidth="1"/>
    <col min="2" max="2" width="106.85546875" bestFit="1" customWidth="1"/>
    <col min="3" max="3" width="10.140625" customWidth="1"/>
    <col min="4" max="4" width="31.7109375" customWidth="1"/>
    <col min="5" max="5" width="49.7109375" customWidth="1"/>
  </cols>
  <sheetData>
    <row r="1" spans="1:2" ht="21">
      <c r="A1" s="1" t="s">
        <v>1</v>
      </c>
    </row>
    <row r="3" spans="1:2">
      <c r="A3" s="63" t="s">
        <v>0</v>
      </c>
    </row>
    <row r="4" spans="1:2" s="62" customFormat="1" ht="45">
      <c r="A4" s="61" t="s">
        <v>1231</v>
      </c>
      <c r="B4" s="62" t="s">
        <v>315</v>
      </c>
    </row>
    <row r="5" spans="1:2">
      <c r="A5" s="93"/>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A5D-8BEC-4616-A536-1EBCC28B62EC}">
  <sheetPr codeName="Sheet5"/>
  <dimension ref="A1:B9"/>
  <sheetViews>
    <sheetView workbookViewId="0">
      <selection activeCell="B9" sqref="B9"/>
    </sheetView>
  </sheetViews>
  <sheetFormatPr defaultRowHeight="15"/>
  <cols>
    <col min="1" max="1" width="5.42578125" customWidth="1"/>
    <col min="2" max="2" width="58" customWidth="1"/>
  </cols>
  <sheetData>
    <row r="1" spans="1:2" ht="18.75">
      <c r="A1" s="96" t="s">
        <v>2183</v>
      </c>
    </row>
    <row r="2" spans="1:2">
      <c r="A2" s="62" t="s">
        <v>2189</v>
      </c>
    </row>
    <row r="3" spans="1:2">
      <c r="A3" s="95" t="s">
        <v>2181</v>
      </c>
    </row>
    <row r="4" spans="1:2">
      <c r="A4" s="95" t="s">
        <v>2186</v>
      </c>
    </row>
    <row r="5" spans="1:2">
      <c r="A5" s="95" t="s">
        <v>2190</v>
      </c>
    </row>
    <row r="6" spans="1:2">
      <c r="A6" t="s">
        <v>2188</v>
      </c>
    </row>
    <row r="7" spans="1:2">
      <c r="B7" t="s">
        <v>2184</v>
      </c>
    </row>
    <row r="8" spans="1:2">
      <c r="B8" t="s">
        <v>2185</v>
      </c>
    </row>
    <row r="9" spans="1:2" ht="60">
      <c r="B9" s="93" t="s">
        <v>2187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I836"/>
  <sheetViews>
    <sheetView zoomScaleNormal="100" workbookViewId="0">
      <selection activeCell="A2" sqref="A2"/>
    </sheetView>
  </sheetViews>
  <sheetFormatPr defaultRowHeight="15"/>
  <cols>
    <col min="1" max="2" width="9.140625" style="68"/>
    <col min="3" max="3" width="9.140625" style="69"/>
    <col min="4" max="7" width="9.140625" style="45"/>
    <col min="8" max="16384" width="9.140625" style="68"/>
  </cols>
  <sheetData>
    <row r="2" spans="1:9">
      <c r="A2" s="94" t="s">
        <v>153</v>
      </c>
      <c r="B2" s="94" t="s">
        <v>241</v>
      </c>
      <c r="C2" s="94" t="s">
        <v>242</v>
      </c>
      <c r="D2" s="94" t="s">
        <v>243</v>
      </c>
      <c r="E2" s="94" t="s">
        <v>244</v>
      </c>
      <c r="F2" s="94" t="s">
        <v>245</v>
      </c>
      <c r="G2" s="94" t="s">
        <v>246</v>
      </c>
      <c r="H2" s="94" t="s">
        <v>247</v>
      </c>
      <c r="I2" s="94" t="s">
        <v>154</v>
      </c>
    </row>
    <row r="3" spans="1:9">
      <c r="A3" s="81">
        <v>1</v>
      </c>
      <c r="B3" s="82" t="s">
        <v>316</v>
      </c>
      <c r="C3" s="81" t="s">
        <v>317</v>
      </c>
      <c r="D3" s="82" t="s">
        <v>318</v>
      </c>
      <c r="E3" s="83">
        <v>0</v>
      </c>
      <c r="F3" s="83">
        <v>21700000</v>
      </c>
      <c r="G3" s="83">
        <v>21853191</v>
      </c>
      <c r="H3" s="82" t="s">
        <v>319</v>
      </c>
      <c r="I3" s="83" t="s">
        <v>320</v>
      </c>
    </row>
    <row r="4" spans="1:9">
      <c r="A4" s="81">
        <v>2</v>
      </c>
      <c r="B4" s="82" t="s">
        <v>321</v>
      </c>
      <c r="C4" s="81" t="s">
        <v>322</v>
      </c>
      <c r="D4" s="82" t="s">
        <v>323</v>
      </c>
      <c r="E4" s="83">
        <v>21583191</v>
      </c>
      <c r="F4" s="83">
        <v>0</v>
      </c>
      <c r="G4" s="83">
        <v>270000</v>
      </c>
      <c r="H4" s="82" t="s">
        <v>251</v>
      </c>
      <c r="I4" s="83" t="s">
        <v>320</v>
      </c>
    </row>
    <row r="5" spans="1:9">
      <c r="A5" s="81" t="s">
        <v>169</v>
      </c>
      <c r="B5" s="82" t="s">
        <v>257</v>
      </c>
      <c r="C5" s="81" t="s">
        <v>324</v>
      </c>
      <c r="D5" s="82" t="s">
        <v>259</v>
      </c>
      <c r="E5" s="83">
        <v>0</v>
      </c>
      <c r="F5" s="83">
        <v>3352</v>
      </c>
      <c r="G5" s="83">
        <v>273352</v>
      </c>
      <c r="H5" s="82"/>
      <c r="I5" s="83" t="s">
        <v>320</v>
      </c>
    </row>
    <row r="6" spans="1:9">
      <c r="A6" s="84" t="s">
        <v>153</v>
      </c>
      <c r="B6" s="84" t="s">
        <v>241</v>
      </c>
      <c r="C6" s="84" t="s">
        <v>242</v>
      </c>
      <c r="D6" s="84" t="s">
        <v>243</v>
      </c>
      <c r="E6" s="84" t="s">
        <v>244</v>
      </c>
      <c r="F6" s="84" t="s">
        <v>245</v>
      </c>
      <c r="G6" s="84" t="s">
        <v>246</v>
      </c>
      <c r="H6" s="84" t="s">
        <v>247</v>
      </c>
      <c r="I6" s="84" t="s">
        <v>154</v>
      </c>
    </row>
    <row r="7" spans="1:9">
      <c r="A7" s="85">
        <v>1</v>
      </c>
      <c r="B7" s="86" t="s">
        <v>325</v>
      </c>
      <c r="C7" s="85" t="s">
        <v>326</v>
      </c>
      <c r="D7" s="86" t="s">
        <v>327</v>
      </c>
      <c r="E7" s="87">
        <v>1054099</v>
      </c>
      <c r="F7" s="87">
        <v>0</v>
      </c>
      <c r="G7" s="87">
        <v>111102692</v>
      </c>
      <c r="H7" s="86" t="s">
        <v>328</v>
      </c>
      <c r="I7" s="87" t="s">
        <v>329</v>
      </c>
    </row>
    <row r="8" spans="1:9">
      <c r="A8" s="85">
        <v>2</v>
      </c>
      <c r="B8" s="86" t="s">
        <v>325</v>
      </c>
      <c r="C8" s="85" t="s">
        <v>326</v>
      </c>
      <c r="D8" s="86" t="s">
        <v>327</v>
      </c>
      <c r="E8" s="87">
        <v>103410000</v>
      </c>
      <c r="F8" s="87">
        <v>0</v>
      </c>
      <c r="G8" s="87">
        <v>7692692</v>
      </c>
      <c r="H8" s="86" t="s">
        <v>328</v>
      </c>
      <c r="I8" s="87" t="s">
        <v>329</v>
      </c>
    </row>
    <row r="9" spans="1:9">
      <c r="A9" s="85">
        <v>3</v>
      </c>
      <c r="B9" s="86" t="s">
        <v>330</v>
      </c>
      <c r="C9" s="85" t="s">
        <v>331</v>
      </c>
      <c r="D9" s="86" t="s">
        <v>332</v>
      </c>
      <c r="E9" s="87">
        <v>0</v>
      </c>
      <c r="F9" s="87">
        <v>157000000</v>
      </c>
      <c r="G9" s="87">
        <v>164692692</v>
      </c>
      <c r="H9" s="86" t="s">
        <v>333</v>
      </c>
      <c r="I9" s="87" t="s">
        <v>329</v>
      </c>
    </row>
    <row r="10" spans="1:9">
      <c r="A10" s="85">
        <v>4</v>
      </c>
      <c r="B10" s="86" t="s">
        <v>321</v>
      </c>
      <c r="C10" s="85" t="s">
        <v>322</v>
      </c>
      <c r="D10" s="86" t="s">
        <v>334</v>
      </c>
      <c r="E10" s="87">
        <v>0</v>
      </c>
      <c r="F10" s="87">
        <v>21583191</v>
      </c>
      <c r="G10" s="87">
        <v>186275883</v>
      </c>
      <c r="H10" s="86" t="s">
        <v>335</v>
      </c>
      <c r="I10" s="87" t="s">
        <v>329</v>
      </c>
    </row>
    <row r="11" spans="1:9">
      <c r="A11" s="85">
        <v>5</v>
      </c>
      <c r="B11" s="86" t="s">
        <v>336</v>
      </c>
      <c r="C11" s="85" t="s">
        <v>337</v>
      </c>
      <c r="D11" s="86" t="s">
        <v>338</v>
      </c>
      <c r="E11" s="87">
        <v>0</v>
      </c>
      <c r="F11" s="87">
        <v>70000000</v>
      </c>
      <c r="G11" s="87">
        <v>256275883</v>
      </c>
      <c r="H11" s="86" t="s">
        <v>339</v>
      </c>
      <c r="I11" s="87" t="s">
        <v>329</v>
      </c>
    </row>
    <row r="12" spans="1:9">
      <c r="A12" s="85">
        <v>6</v>
      </c>
      <c r="B12" s="86" t="s">
        <v>248</v>
      </c>
      <c r="C12" s="85" t="s">
        <v>249</v>
      </c>
      <c r="D12" s="86" t="s">
        <v>340</v>
      </c>
      <c r="E12" s="87">
        <v>180000000</v>
      </c>
      <c r="F12" s="87">
        <v>0</v>
      </c>
      <c r="G12" s="87">
        <v>76275883</v>
      </c>
      <c r="H12" s="86" t="s">
        <v>267</v>
      </c>
      <c r="I12" s="87" t="s">
        <v>329</v>
      </c>
    </row>
    <row r="13" spans="1:9">
      <c r="A13" s="85">
        <v>7</v>
      </c>
      <c r="B13" s="86" t="s">
        <v>341</v>
      </c>
      <c r="C13" s="85" t="s">
        <v>342</v>
      </c>
      <c r="D13" s="86" t="s">
        <v>343</v>
      </c>
      <c r="E13" s="87">
        <v>3250000</v>
      </c>
      <c r="F13" s="87">
        <v>0</v>
      </c>
      <c r="G13" s="87">
        <v>73025883</v>
      </c>
      <c r="H13" s="86" t="s">
        <v>344</v>
      </c>
      <c r="I13" s="87" t="s">
        <v>329</v>
      </c>
    </row>
    <row r="14" spans="1:9">
      <c r="A14" s="85">
        <v>8</v>
      </c>
      <c r="B14" s="86" t="s">
        <v>341</v>
      </c>
      <c r="C14" s="85" t="s">
        <v>345</v>
      </c>
      <c r="D14" s="86" t="s">
        <v>346</v>
      </c>
      <c r="E14" s="87">
        <v>4750000</v>
      </c>
      <c r="F14" s="87">
        <v>0</v>
      </c>
      <c r="G14" s="87">
        <v>68275883</v>
      </c>
      <c r="H14" s="86" t="s">
        <v>347</v>
      </c>
      <c r="I14" s="87" t="s">
        <v>329</v>
      </c>
    </row>
    <row r="15" spans="1:9">
      <c r="A15" s="85">
        <v>9</v>
      </c>
      <c r="B15" s="86" t="s">
        <v>341</v>
      </c>
      <c r="C15" s="85" t="s">
        <v>348</v>
      </c>
      <c r="D15" s="86" t="s">
        <v>349</v>
      </c>
      <c r="E15" s="87">
        <v>5500000</v>
      </c>
      <c r="F15" s="87">
        <v>0</v>
      </c>
      <c r="G15" s="87">
        <v>62775883</v>
      </c>
      <c r="H15" s="86" t="s">
        <v>350</v>
      </c>
      <c r="I15" s="87" t="s">
        <v>329</v>
      </c>
    </row>
    <row r="16" spans="1:9">
      <c r="A16" s="85">
        <v>10</v>
      </c>
      <c r="B16" s="86" t="s">
        <v>341</v>
      </c>
      <c r="C16" s="85" t="s">
        <v>351</v>
      </c>
      <c r="D16" s="86" t="s">
        <v>352</v>
      </c>
      <c r="E16" s="87">
        <v>4551000</v>
      </c>
      <c r="F16" s="87">
        <v>0</v>
      </c>
      <c r="G16" s="87">
        <v>58224883</v>
      </c>
      <c r="H16" s="86" t="s">
        <v>353</v>
      </c>
      <c r="I16" s="87" t="s">
        <v>329</v>
      </c>
    </row>
    <row r="17" spans="1:9">
      <c r="A17" s="85">
        <v>11</v>
      </c>
      <c r="B17" s="86" t="s">
        <v>341</v>
      </c>
      <c r="C17" s="85" t="s">
        <v>354</v>
      </c>
      <c r="D17" s="86" t="s">
        <v>355</v>
      </c>
      <c r="E17" s="87">
        <v>4250000</v>
      </c>
      <c r="F17" s="87">
        <v>0</v>
      </c>
      <c r="G17" s="87">
        <v>53974883</v>
      </c>
      <c r="H17" s="86" t="s">
        <v>356</v>
      </c>
      <c r="I17" s="87" t="s">
        <v>329</v>
      </c>
    </row>
    <row r="18" spans="1:9">
      <c r="A18" s="85">
        <v>12</v>
      </c>
      <c r="B18" s="86" t="s">
        <v>357</v>
      </c>
      <c r="C18" s="85" t="s">
        <v>358</v>
      </c>
      <c r="D18" s="86" t="s">
        <v>359</v>
      </c>
      <c r="E18" s="87">
        <v>3500000</v>
      </c>
      <c r="F18" s="87">
        <v>0</v>
      </c>
      <c r="G18" s="87">
        <v>50474883</v>
      </c>
      <c r="H18" s="86" t="s">
        <v>360</v>
      </c>
      <c r="I18" s="87" t="s">
        <v>329</v>
      </c>
    </row>
    <row r="19" spans="1:9">
      <c r="A19" s="85">
        <v>13</v>
      </c>
      <c r="B19" s="86" t="s">
        <v>357</v>
      </c>
      <c r="C19" s="85" t="s">
        <v>361</v>
      </c>
      <c r="D19" s="86" t="s">
        <v>362</v>
      </c>
      <c r="E19" s="87">
        <v>8462788</v>
      </c>
      <c r="F19" s="87">
        <v>0</v>
      </c>
      <c r="G19" s="87">
        <v>42012095</v>
      </c>
      <c r="H19" s="86" t="s">
        <v>363</v>
      </c>
      <c r="I19" s="87" t="s">
        <v>329</v>
      </c>
    </row>
    <row r="20" spans="1:9">
      <c r="A20" s="85">
        <v>14</v>
      </c>
      <c r="B20" s="86" t="s">
        <v>357</v>
      </c>
      <c r="C20" s="85" t="s">
        <v>364</v>
      </c>
      <c r="D20" s="86" t="s">
        <v>365</v>
      </c>
      <c r="E20" s="87">
        <v>11000000</v>
      </c>
      <c r="F20" s="87">
        <v>0</v>
      </c>
      <c r="G20" s="87">
        <v>31012095</v>
      </c>
      <c r="H20" s="86" t="s">
        <v>366</v>
      </c>
      <c r="I20" s="87" t="s">
        <v>329</v>
      </c>
    </row>
    <row r="21" spans="1:9">
      <c r="A21" s="85">
        <v>15</v>
      </c>
      <c r="B21" s="86" t="s">
        <v>357</v>
      </c>
      <c r="C21" s="85" t="s">
        <v>367</v>
      </c>
      <c r="D21" s="86" t="s">
        <v>368</v>
      </c>
      <c r="E21" s="87">
        <v>7000000</v>
      </c>
      <c r="F21" s="87">
        <v>0</v>
      </c>
      <c r="G21" s="87">
        <v>24012095</v>
      </c>
      <c r="H21" s="86" t="s">
        <v>369</v>
      </c>
      <c r="I21" s="87" t="s">
        <v>329</v>
      </c>
    </row>
    <row r="22" spans="1:9">
      <c r="A22" s="85">
        <v>16</v>
      </c>
      <c r="B22" s="86" t="s">
        <v>357</v>
      </c>
      <c r="C22" s="85" t="s">
        <v>370</v>
      </c>
      <c r="D22" s="86" t="s">
        <v>371</v>
      </c>
      <c r="E22" s="87">
        <v>3500000</v>
      </c>
      <c r="F22" s="87">
        <v>0</v>
      </c>
      <c r="G22" s="87">
        <v>20512095</v>
      </c>
      <c r="H22" s="86" t="s">
        <v>372</v>
      </c>
      <c r="I22" s="87" t="s">
        <v>329</v>
      </c>
    </row>
    <row r="23" spans="1:9">
      <c r="A23" s="85">
        <v>17</v>
      </c>
      <c r="B23" s="86" t="s">
        <v>357</v>
      </c>
      <c r="C23" s="85" t="s">
        <v>373</v>
      </c>
      <c r="D23" s="86" t="s">
        <v>374</v>
      </c>
      <c r="E23" s="87">
        <v>3500000</v>
      </c>
      <c r="F23" s="87">
        <v>0</v>
      </c>
      <c r="G23" s="87">
        <v>17012095</v>
      </c>
      <c r="H23" s="86" t="s">
        <v>375</v>
      </c>
      <c r="I23" s="87" t="s">
        <v>329</v>
      </c>
    </row>
    <row r="24" spans="1:9">
      <c r="A24" s="85">
        <v>18</v>
      </c>
      <c r="B24" s="86" t="s">
        <v>357</v>
      </c>
      <c r="C24" s="85" t="s">
        <v>376</v>
      </c>
      <c r="D24" s="86" t="s">
        <v>377</v>
      </c>
      <c r="E24" s="87">
        <v>2076923</v>
      </c>
      <c r="F24" s="87">
        <v>0</v>
      </c>
      <c r="G24" s="87">
        <v>14935172</v>
      </c>
      <c r="H24" s="86" t="s">
        <v>378</v>
      </c>
      <c r="I24" s="87" t="s">
        <v>329</v>
      </c>
    </row>
    <row r="25" spans="1:9">
      <c r="A25" s="85">
        <v>19</v>
      </c>
      <c r="B25" s="86" t="s">
        <v>357</v>
      </c>
      <c r="C25" s="85" t="s">
        <v>379</v>
      </c>
      <c r="D25" s="86" t="s">
        <v>380</v>
      </c>
      <c r="E25" s="87">
        <v>2059616</v>
      </c>
      <c r="F25" s="87">
        <v>0</v>
      </c>
      <c r="G25" s="87">
        <v>12875556</v>
      </c>
      <c r="H25" s="86" t="s">
        <v>381</v>
      </c>
      <c r="I25" s="87" t="s">
        <v>329</v>
      </c>
    </row>
    <row r="26" spans="1:9">
      <c r="A26" s="85">
        <v>20</v>
      </c>
      <c r="B26" s="86" t="s">
        <v>357</v>
      </c>
      <c r="C26" s="85" t="s">
        <v>382</v>
      </c>
      <c r="D26" s="86" t="s">
        <v>383</v>
      </c>
      <c r="E26" s="87">
        <v>2769231</v>
      </c>
      <c r="F26" s="87">
        <v>0</v>
      </c>
      <c r="G26" s="87">
        <v>10106325</v>
      </c>
      <c r="H26" s="86" t="s">
        <v>384</v>
      </c>
      <c r="I26" s="87" t="s">
        <v>329</v>
      </c>
    </row>
    <row r="27" spans="1:9">
      <c r="A27" s="85">
        <v>21</v>
      </c>
      <c r="B27" s="86" t="s">
        <v>357</v>
      </c>
      <c r="C27" s="85" t="s">
        <v>385</v>
      </c>
      <c r="D27" s="86" t="s">
        <v>386</v>
      </c>
      <c r="E27" s="87">
        <v>2153846</v>
      </c>
      <c r="F27" s="87">
        <v>0</v>
      </c>
      <c r="G27" s="87">
        <v>7952479</v>
      </c>
      <c r="H27" s="86" t="s">
        <v>387</v>
      </c>
      <c r="I27" s="87" t="s">
        <v>329</v>
      </c>
    </row>
    <row r="28" spans="1:9">
      <c r="A28" s="85" t="s">
        <v>169</v>
      </c>
      <c r="B28" s="86" t="s">
        <v>257</v>
      </c>
      <c r="C28" s="85" t="s">
        <v>388</v>
      </c>
      <c r="D28" s="86" t="s">
        <v>259</v>
      </c>
      <c r="E28" s="87">
        <v>0</v>
      </c>
      <c r="F28" s="87">
        <v>35399</v>
      </c>
      <c r="G28" s="87">
        <v>7987878</v>
      </c>
      <c r="H28" s="86"/>
      <c r="I28" s="87" t="s">
        <v>329</v>
      </c>
    </row>
    <row r="29" spans="1:9">
      <c r="A29" s="94" t="s">
        <v>153</v>
      </c>
      <c r="B29" s="94" t="s">
        <v>241</v>
      </c>
      <c r="C29" s="94" t="s">
        <v>242</v>
      </c>
      <c r="D29" s="94" t="s">
        <v>243</v>
      </c>
      <c r="E29" s="94" t="s">
        <v>244</v>
      </c>
      <c r="F29" s="94" t="s">
        <v>245</v>
      </c>
      <c r="G29" s="94" t="s">
        <v>246</v>
      </c>
      <c r="H29" s="94" t="s">
        <v>247</v>
      </c>
      <c r="I29" s="94" t="s">
        <v>154</v>
      </c>
    </row>
    <row r="30" spans="1:9">
      <c r="A30" s="81">
        <v>1</v>
      </c>
      <c r="B30" s="82" t="s">
        <v>389</v>
      </c>
      <c r="C30" s="81" t="s">
        <v>390</v>
      </c>
      <c r="D30" s="82" t="s">
        <v>391</v>
      </c>
      <c r="E30" s="83">
        <v>0</v>
      </c>
      <c r="F30" s="83">
        <v>25900000</v>
      </c>
      <c r="G30" s="83">
        <v>55092414</v>
      </c>
      <c r="H30" s="82"/>
      <c r="I30" s="83" t="s">
        <v>392</v>
      </c>
    </row>
    <row r="31" spans="1:9">
      <c r="A31" s="81">
        <v>2</v>
      </c>
      <c r="B31" s="82" t="s">
        <v>393</v>
      </c>
      <c r="C31" s="81" t="s">
        <v>394</v>
      </c>
      <c r="D31" s="82" t="s">
        <v>395</v>
      </c>
      <c r="E31" s="83">
        <v>0</v>
      </c>
      <c r="F31" s="83">
        <v>18507000</v>
      </c>
      <c r="G31" s="83">
        <v>73599414</v>
      </c>
      <c r="H31" s="82" t="s">
        <v>339</v>
      </c>
      <c r="I31" s="83" t="s">
        <v>392</v>
      </c>
    </row>
    <row r="32" spans="1:9">
      <c r="A32" s="81">
        <v>3</v>
      </c>
      <c r="B32" s="82" t="s">
        <v>336</v>
      </c>
      <c r="C32" s="81" t="s">
        <v>337</v>
      </c>
      <c r="D32" s="82" t="s">
        <v>396</v>
      </c>
      <c r="E32" s="83">
        <v>70000000</v>
      </c>
      <c r="F32" s="83">
        <v>0</v>
      </c>
      <c r="G32" s="83">
        <v>3599414</v>
      </c>
      <c r="H32" s="82" t="s">
        <v>251</v>
      </c>
      <c r="I32" s="83" t="s">
        <v>392</v>
      </c>
    </row>
    <row r="33" spans="1:9">
      <c r="A33" s="81">
        <v>4</v>
      </c>
      <c r="B33" s="82" t="s">
        <v>397</v>
      </c>
      <c r="C33" s="81" t="s">
        <v>398</v>
      </c>
      <c r="D33" s="82" t="s">
        <v>399</v>
      </c>
      <c r="E33" s="83">
        <v>2716981</v>
      </c>
      <c r="F33" s="83">
        <v>0</v>
      </c>
      <c r="G33" s="83">
        <v>882433</v>
      </c>
      <c r="H33" s="82" t="s">
        <v>400</v>
      </c>
      <c r="I33" s="83" t="s">
        <v>392</v>
      </c>
    </row>
    <row r="34" spans="1:9">
      <c r="A34" s="81" t="s">
        <v>169</v>
      </c>
      <c r="B34" s="82" t="s">
        <v>257</v>
      </c>
      <c r="C34" s="81" t="s">
        <v>401</v>
      </c>
      <c r="D34" s="82" t="s">
        <v>259</v>
      </c>
      <c r="E34" s="83">
        <v>0</v>
      </c>
      <c r="F34" s="83">
        <v>11948</v>
      </c>
      <c r="G34" s="83">
        <v>894381</v>
      </c>
      <c r="H34" s="82"/>
      <c r="I34" s="83" t="s">
        <v>392</v>
      </c>
    </row>
    <row r="35" spans="1:9">
      <c r="A35" s="94" t="s">
        <v>153</v>
      </c>
      <c r="B35" s="94" t="s">
        <v>241</v>
      </c>
      <c r="C35" s="94" t="s">
        <v>242</v>
      </c>
      <c r="D35" s="94" t="s">
        <v>243</v>
      </c>
      <c r="E35" s="94" t="s">
        <v>244</v>
      </c>
      <c r="F35" s="94" t="s">
        <v>245</v>
      </c>
      <c r="G35" s="94" t="s">
        <v>246</v>
      </c>
      <c r="H35" s="94" t="s">
        <v>247</v>
      </c>
      <c r="I35" s="94" t="s">
        <v>154</v>
      </c>
    </row>
    <row r="36" spans="1:9">
      <c r="A36" s="81">
        <v>1</v>
      </c>
      <c r="B36" s="82" t="s">
        <v>402</v>
      </c>
      <c r="C36" s="81" t="s">
        <v>403</v>
      </c>
      <c r="D36" s="82" t="s">
        <v>404</v>
      </c>
      <c r="E36" s="83">
        <v>0</v>
      </c>
      <c r="F36" s="83">
        <v>925000</v>
      </c>
      <c r="G36" s="83">
        <v>18507000</v>
      </c>
      <c r="H36" s="82"/>
      <c r="I36" s="83" t="s">
        <v>405</v>
      </c>
    </row>
    <row r="37" spans="1:9">
      <c r="A37" s="81">
        <v>2</v>
      </c>
      <c r="B37" s="82" t="s">
        <v>393</v>
      </c>
      <c r="C37" s="81" t="s">
        <v>394</v>
      </c>
      <c r="D37" s="82" t="s">
        <v>406</v>
      </c>
      <c r="E37" s="83">
        <v>18507000</v>
      </c>
      <c r="F37" s="83">
        <v>0</v>
      </c>
      <c r="G37" s="83">
        <v>0</v>
      </c>
      <c r="H37" s="82" t="s">
        <v>339</v>
      </c>
      <c r="I37" s="83" t="s">
        <v>405</v>
      </c>
    </row>
    <row r="38" spans="1:9">
      <c r="A38" s="81">
        <v>3</v>
      </c>
      <c r="B38" s="82" t="s">
        <v>407</v>
      </c>
      <c r="C38" s="81" t="s">
        <v>408</v>
      </c>
      <c r="D38" s="82" t="s">
        <v>409</v>
      </c>
      <c r="E38" s="83">
        <v>0</v>
      </c>
      <c r="F38" s="83">
        <v>2500000</v>
      </c>
      <c r="G38" s="83">
        <v>2500000</v>
      </c>
      <c r="H38" s="82"/>
      <c r="I38" s="83" t="s">
        <v>405</v>
      </c>
    </row>
    <row r="39" spans="1:9">
      <c r="A39" s="81" t="s">
        <v>169</v>
      </c>
      <c r="B39" s="82" t="s">
        <v>257</v>
      </c>
      <c r="C39" s="81" t="s">
        <v>410</v>
      </c>
      <c r="D39" s="82" t="s">
        <v>259</v>
      </c>
      <c r="E39" s="83">
        <v>0</v>
      </c>
      <c r="F39" s="83">
        <v>6316</v>
      </c>
      <c r="G39" s="83">
        <v>2506316</v>
      </c>
      <c r="H39" s="82"/>
      <c r="I39" s="83" t="s">
        <v>405</v>
      </c>
    </row>
    <row r="40" spans="1:9">
      <c r="A40" s="94" t="s">
        <v>153</v>
      </c>
      <c r="B40" s="94" t="s">
        <v>241</v>
      </c>
      <c r="C40" s="94" t="s">
        <v>242</v>
      </c>
      <c r="D40" s="94" t="s">
        <v>243</v>
      </c>
      <c r="E40" s="94" t="s">
        <v>244</v>
      </c>
      <c r="F40" s="94" t="s">
        <v>245</v>
      </c>
      <c r="G40" s="94" t="s">
        <v>246</v>
      </c>
      <c r="H40" s="94" t="s">
        <v>247</v>
      </c>
      <c r="I40" s="94" t="s">
        <v>154</v>
      </c>
    </row>
    <row r="41" spans="1:9">
      <c r="A41" s="81">
        <v>1</v>
      </c>
      <c r="B41" s="82" t="s">
        <v>411</v>
      </c>
      <c r="C41" s="81" t="s">
        <v>412</v>
      </c>
      <c r="D41" s="82" t="s">
        <v>413</v>
      </c>
      <c r="E41" s="83">
        <v>0</v>
      </c>
      <c r="F41" s="83">
        <v>16700000</v>
      </c>
      <c r="G41" s="83">
        <v>18044896</v>
      </c>
      <c r="H41" s="82"/>
      <c r="I41" s="83" t="s">
        <v>414</v>
      </c>
    </row>
    <row r="42" spans="1:9">
      <c r="A42" s="81">
        <v>2</v>
      </c>
      <c r="B42" s="82" t="s">
        <v>415</v>
      </c>
      <c r="C42" s="81" t="s">
        <v>416</v>
      </c>
      <c r="D42" s="82" t="s">
        <v>417</v>
      </c>
      <c r="E42" s="83">
        <v>0</v>
      </c>
      <c r="F42" s="83">
        <v>3680000</v>
      </c>
      <c r="G42" s="83">
        <v>21724896</v>
      </c>
      <c r="H42" s="82" t="s">
        <v>319</v>
      </c>
      <c r="I42" s="83" t="s">
        <v>414</v>
      </c>
    </row>
    <row r="43" spans="1:9">
      <c r="A43" s="81">
        <v>3</v>
      </c>
      <c r="B43" s="82" t="s">
        <v>316</v>
      </c>
      <c r="C43" s="81" t="s">
        <v>317</v>
      </c>
      <c r="D43" s="82" t="s">
        <v>418</v>
      </c>
      <c r="E43" s="83">
        <v>21700000</v>
      </c>
      <c r="F43" s="83">
        <v>0</v>
      </c>
      <c r="G43" s="83">
        <v>24896</v>
      </c>
      <c r="H43" s="82" t="s">
        <v>335</v>
      </c>
      <c r="I43" s="83" t="s">
        <v>414</v>
      </c>
    </row>
    <row r="44" spans="1:9">
      <c r="A44" s="81" t="s">
        <v>169</v>
      </c>
      <c r="B44" s="82" t="s">
        <v>257</v>
      </c>
      <c r="C44" s="81" t="s">
        <v>419</v>
      </c>
      <c r="D44" s="82" t="s">
        <v>259</v>
      </c>
      <c r="E44" s="83">
        <v>0</v>
      </c>
      <c r="F44" s="83">
        <v>8556</v>
      </c>
      <c r="G44" s="83">
        <v>33452</v>
      </c>
      <c r="H44" s="82"/>
      <c r="I44" s="83" t="s">
        <v>414</v>
      </c>
    </row>
    <row r="45" spans="1:9">
      <c r="A45" s="94" t="s">
        <v>153</v>
      </c>
      <c r="B45" s="94" t="s">
        <v>241</v>
      </c>
      <c r="C45" s="94" t="s">
        <v>242</v>
      </c>
      <c r="D45" s="94" t="s">
        <v>243</v>
      </c>
      <c r="E45" s="94" t="s">
        <v>244</v>
      </c>
      <c r="F45" s="94" t="s">
        <v>245</v>
      </c>
      <c r="G45" s="94" t="s">
        <v>246</v>
      </c>
      <c r="H45" s="94" t="s">
        <v>247</v>
      </c>
      <c r="I45" s="94" t="s">
        <v>154</v>
      </c>
    </row>
    <row r="46" spans="1:9">
      <c r="A46" s="81">
        <v>1</v>
      </c>
      <c r="B46" s="82" t="s">
        <v>420</v>
      </c>
      <c r="C46" s="81" t="s">
        <v>421</v>
      </c>
      <c r="D46" s="82" t="s">
        <v>422</v>
      </c>
      <c r="E46" s="83">
        <v>0</v>
      </c>
      <c r="F46" s="83">
        <v>40000</v>
      </c>
      <c r="G46" s="83">
        <v>3680000</v>
      </c>
      <c r="H46" s="82"/>
      <c r="I46" s="83" t="s">
        <v>423</v>
      </c>
    </row>
    <row r="47" spans="1:9">
      <c r="A47" s="81">
        <v>2</v>
      </c>
      <c r="B47" s="82" t="s">
        <v>415</v>
      </c>
      <c r="C47" s="81" t="s">
        <v>416</v>
      </c>
      <c r="D47" s="82" t="s">
        <v>424</v>
      </c>
      <c r="E47" s="83">
        <v>3680000</v>
      </c>
      <c r="F47" s="83">
        <v>0</v>
      </c>
      <c r="G47" s="83">
        <v>0</v>
      </c>
      <c r="H47" s="82" t="s">
        <v>319</v>
      </c>
      <c r="I47" s="83" t="s">
        <v>423</v>
      </c>
    </row>
    <row r="48" spans="1:9">
      <c r="A48" s="81" t="s">
        <v>169</v>
      </c>
      <c r="B48" s="82" t="s">
        <v>257</v>
      </c>
      <c r="C48" s="81" t="s">
        <v>425</v>
      </c>
      <c r="D48" s="82" t="s">
        <v>259</v>
      </c>
      <c r="E48" s="83">
        <v>0</v>
      </c>
      <c r="F48" s="83">
        <v>1155</v>
      </c>
      <c r="G48" s="83">
        <v>1155</v>
      </c>
      <c r="H48" s="82"/>
      <c r="I48" s="83" t="s">
        <v>423</v>
      </c>
    </row>
    <row r="49" spans="1:9">
      <c r="A49" s="94" t="s">
        <v>153</v>
      </c>
      <c r="B49" s="94" t="s">
        <v>241</v>
      </c>
      <c r="C49" s="94" t="s">
        <v>242</v>
      </c>
      <c r="D49" s="94" t="s">
        <v>243</v>
      </c>
      <c r="E49" s="94" t="s">
        <v>244</v>
      </c>
      <c r="F49" s="94" t="s">
        <v>245</v>
      </c>
      <c r="G49" s="94" t="s">
        <v>246</v>
      </c>
      <c r="H49" s="94" t="s">
        <v>247</v>
      </c>
      <c r="I49" s="94" t="s">
        <v>154</v>
      </c>
    </row>
    <row r="50" spans="1:9">
      <c r="A50" s="81">
        <v>1</v>
      </c>
      <c r="B50" s="82" t="s">
        <v>426</v>
      </c>
      <c r="C50" s="81" t="s">
        <v>427</v>
      </c>
      <c r="D50" s="82" t="s">
        <v>428</v>
      </c>
      <c r="E50" s="83">
        <v>0</v>
      </c>
      <c r="F50" s="83">
        <v>13000000</v>
      </c>
      <c r="G50" s="83">
        <v>36166803</v>
      </c>
      <c r="H50" s="82"/>
      <c r="I50" s="83" t="s">
        <v>429</v>
      </c>
    </row>
    <row r="51" spans="1:9">
      <c r="A51" s="81">
        <v>2</v>
      </c>
      <c r="B51" s="82" t="s">
        <v>430</v>
      </c>
      <c r="C51" s="81" t="s">
        <v>431</v>
      </c>
      <c r="D51" s="82" t="s">
        <v>432</v>
      </c>
      <c r="E51" s="83">
        <v>0</v>
      </c>
      <c r="F51" s="83">
        <v>12000000</v>
      </c>
      <c r="G51" s="83">
        <v>48166803</v>
      </c>
      <c r="H51" s="82"/>
      <c r="I51" s="83" t="s">
        <v>429</v>
      </c>
    </row>
    <row r="52" spans="1:9">
      <c r="A52" s="81">
        <v>3</v>
      </c>
      <c r="B52" s="82" t="s">
        <v>433</v>
      </c>
      <c r="C52" s="81" t="s">
        <v>434</v>
      </c>
      <c r="D52" s="82" t="s">
        <v>435</v>
      </c>
      <c r="E52" s="83">
        <v>0</v>
      </c>
      <c r="F52" s="83">
        <v>35323000</v>
      </c>
      <c r="G52" s="83">
        <v>83489803</v>
      </c>
      <c r="H52" s="82"/>
      <c r="I52" s="83" t="s">
        <v>429</v>
      </c>
    </row>
    <row r="53" spans="1:9">
      <c r="A53" s="81">
        <v>4</v>
      </c>
      <c r="B53" s="82" t="s">
        <v>436</v>
      </c>
      <c r="C53" s="81" t="s">
        <v>437</v>
      </c>
      <c r="D53" s="82" t="s">
        <v>438</v>
      </c>
      <c r="E53" s="83">
        <v>0</v>
      </c>
      <c r="F53" s="83">
        <v>65200000</v>
      </c>
      <c r="G53" s="83">
        <v>148689803</v>
      </c>
      <c r="H53" s="82"/>
      <c r="I53" s="83" t="s">
        <v>429</v>
      </c>
    </row>
    <row r="54" spans="1:9">
      <c r="A54" s="81">
        <v>5</v>
      </c>
      <c r="B54" s="82" t="s">
        <v>439</v>
      </c>
      <c r="C54" s="81" t="s">
        <v>440</v>
      </c>
      <c r="D54" s="82" t="s">
        <v>441</v>
      </c>
      <c r="E54" s="83">
        <v>2000000</v>
      </c>
      <c r="F54" s="83">
        <v>0</v>
      </c>
      <c r="G54" s="83">
        <v>146689803</v>
      </c>
      <c r="H54" s="82" t="s">
        <v>442</v>
      </c>
      <c r="I54" s="83" t="s">
        <v>429</v>
      </c>
    </row>
    <row r="55" spans="1:9">
      <c r="A55" s="81">
        <v>6</v>
      </c>
      <c r="B55" s="82" t="s">
        <v>443</v>
      </c>
      <c r="C55" s="81" t="s">
        <v>444</v>
      </c>
      <c r="D55" s="82" t="s">
        <v>445</v>
      </c>
      <c r="E55" s="83">
        <v>0</v>
      </c>
      <c r="F55" s="83">
        <v>6200833</v>
      </c>
      <c r="G55" s="83">
        <v>152890636</v>
      </c>
      <c r="H55" s="82" t="s">
        <v>333</v>
      </c>
      <c r="I55" s="83" t="s">
        <v>429</v>
      </c>
    </row>
    <row r="56" spans="1:9">
      <c r="A56" s="81">
        <v>7</v>
      </c>
      <c r="B56" s="82" t="s">
        <v>446</v>
      </c>
      <c r="C56" s="81" t="s">
        <v>447</v>
      </c>
      <c r="D56" s="82" t="s">
        <v>448</v>
      </c>
      <c r="E56" s="83">
        <v>0</v>
      </c>
      <c r="F56" s="83">
        <v>4260008</v>
      </c>
      <c r="G56" s="83">
        <v>157150644</v>
      </c>
      <c r="H56" s="82" t="s">
        <v>333</v>
      </c>
      <c r="I56" s="83" t="s">
        <v>429</v>
      </c>
    </row>
    <row r="57" spans="1:9">
      <c r="A57" s="81">
        <v>8</v>
      </c>
      <c r="B57" s="82" t="s">
        <v>330</v>
      </c>
      <c r="C57" s="81" t="s">
        <v>331</v>
      </c>
      <c r="D57" s="82" t="s">
        <v>449</v>
      </c>
      <c r="E57" s="83">
        <v>157000000</v>
      </c>
      <c r="F57" s="83">
        <v>0</v>
      </c>
      <c r="G57" s="83">
        <v>150644</v>
      </c>
      <c r="H57" s="82" t="s">
        <v>251</v>
      </c>
      <c r="I57" s="83" t="s">
        <v>429</v>
      </c>
    </row>
    <row r="58" spans="1:9">
      <c r="A58" s="81">
        <v>9</v>
      </c>
      <c r="B58" s="82" t="s">
        <v>450</v>
      </c>
      <c r="C58" s="81" t="s">
        <v>451</v>
      </c>
      <c r="D58" s="82" t="s">
        <v>452</v>
      </c>
      <c r="E58" s="83">
        <v>0</v>
      </c>
      <c r="F58" s="83">
        <v>1861667</v>
      </c>
      <c r="G58" s="83">
        <v>2012311</v>
      </c>
      <c r="H58" s="82" t="s">
        <v>453</v>
      </c>
      <c r="I58" s="83" t="s">
        <v>429</v>
      </c>
    </row>
    <row r="59" spans="1:9">
      <c r="A59" s="81">
        <v>10</v>
      </c>
      <c r="B59" s="82" t="s">
        <v>454</v>
      </c>
      <c r="C59" s="81" t="s">
        <v>455</v>
      </c>
      <c r="D59" s="82" t="s">
        <v>456</v>
      </c>
      <c r="E59" s="83">
        <v>0</v>
      </c>
      <c r="F59" s="83">
        <v>9310000</v>
      </c>
      <c r="G59" s="83">
        <v>11322311</v>
      </c>
      <c r="H59" s="82"/>
      <c r="I59" s="83" t="s">
        <v>429</v>
      </c>
    </row>
    <row r="60" spans="1:9">
      <c r="A60" s="81">
        <v>11</v>
      </c>
      <c r="B60" s="82" t="s">
        <v>457</v>
      </c>
      <c r="C60" s="81" t="s">
        <v>458</v>
      </c>
      <c r="D60" s="82" t="s">
        <v>459</v>
      </c>
      <c r="E60" s="83">
        <v>0</v>
      </c>
      <c r="F60" s="83">
        <v>20180000</v>
      </c>
      <c r="G60" s="83">
        <v>31502311</v>
      </c>
      <c r="H60" s="82"/>
      <c r="I60" s="83" t="s">
        <v>429</v>
      </c>
    </row>
    <row r="61" spans="1:9">
      <c r="A61" s="81">
        <v>12</v>
      </c>
      <c r="B61" s="82" t="s">
        <v>460</v>
      </c>
      <c r="C61" s="81" t="s">
        <v>461</v>
      </c>
      <c r="D61" s="82" t="s">
        <v>462</v>
      </c>
      <c r="E61" s="83">
        <v>0</v>
      </c>
      <c r="F61" s="83">
        <v>6857000</v>
      </c>
      <c r="G61" s="83">
        <v>38359311</v>
      </c>
      <c r="H61" s="82"/>
      <c r="I61" s="83" t="s">
        <v>429</v>
      </c>
    </row>
    <row r="62" spans="1:9">
      <c r="A62" s="81">
        <v>13</v>
      </c>
      <c r="B62" s="82" t="s">
        <v>463</v>
      </c>
      <c r="C62" s="81" t="s">
        <v>464</v>
      </c>
      <c r="D62" s="82" t="s">
        <v>465</v>
      </c>
      <c r="E62" s="83">
        <v>0</v>
      </c>
      <c r="F62" s="83">
        <v>5142000</v>
      </c>
      <c r="G62" s="83">
        <v>43501311</v>
      </c>
      <c r="H62" s="82"/>
      <c r="I62" s="83" t="s">
        <v>429</v>
      </c>
    </row>
    <row r="63" spans="1:9">
      <c r="A63" s="81">
        <v>14</v>
      </c>
      <c r="B63" s="82" t="s">
        <v>466</v>
      </c>
      <c r="C63" s="81" t="s">
        <v>467</v>
      </c>
      <c r="D63" s="82" t="s">
        <v>468</v>
      </c>
      <c r="E63" s="83">
        <v>0</v>
      </c>
      <c r="F63" s="83">
        <v>15135000</v>
      </c>
      <c r="G63" s="83">
        <v>58636311</v>
      </c>
      <c r="H63" s="82"/>
      <c r="I63" s="83" t="s">
        <v>429</v>
      </c>
    </row>
    <row r="64" spans="1:9">
      <c r="A64" s="81">
        <v>15</v>
      </c>
      <c r="B64" s="82" t="s">
        <v>257</v>
      </c>
      <c r="C64" s="81" t="s">
        <v>469</v>
      </c>
      <c r="D64" s="82" t="s">
        <v>259</v>
      </c>
      <c r="E64" s="83">
        <v>0</v>
      </c>
      <c r="F64" s="83">
        <v>15107</v>
      </c>
      <c r="G64" s="83">
        <v>58651418</v>
      </c>
      <c r="H64" s="82"/>
      <c r="I64" s="83" t="s">
        <v>429</v>
      </c>
    </row>
    <row r="65" spans="1:9">
      <c r="A65" s="81" t="s">
        <v>169</v>
      </c>
      <c r="B65" s="82" t="s">
        <v>470</v>
      </c>
      <c r="C65" s="81" t="s">
        <v>471</v>
      </c>
      <c r="D65" s="82" t="s">
        <v>472</v>
      </c>
      <c r="E65" s="83">
        <v>0</v>
      </c>
      <c r="F65" s="83">
        <v>7600000</v>
      </c>
      <c r="G65" s="83">
        <v>66251418</v>
      </c>
      <c r="H65" s="82"/>
      <c r="I65" s="83" t="s">
        <v>429</v>
      </c>
    </row>
    <row r="66" spans="1:9">
      <c r="A66" s="94" t="s">
        <v>153</v>
      </c>
      <c r="B66" s="94" t="s">
        <v>241</v>
      </c>
      <c r="C66" s="94" t="s">
        <v>242</v>
      </c>
      <c r="D66" s="94" t="s">
        <v>243</v>
      </c>
      <c r="E66" s="94" t="s">
        <v>244</v>
      </c>
      <c r="F66" s="94" t="s">
        <v>245</v>
      </c>
      <c r="G66" s="94" t="s">
        <v>246</v>
      </c>
      <c r="H66" s="94" t="s">
        <v>247</v>
      </c>
      <c r="I66" s="94" t="s">
        <v>154</v>
      </c>
    </row>
    <row r="67" spans="1:9">
      <c r="A67" s="81">
        <v>1</v>
      </c>
      <c r="B67" s="82" t="s">
        <v>473</v>
      </c>
      <c r="C67" s="81" t="s">
        <v>474</v>
      </c>
      <c r="D67" s="82" t="s">
        <v>475</v>
      </c>
      <c r="E67" s="83">
        <v>0</v>
      </c>
      <c r="F67" s="83">
        <v>3340000</v>
      </c>
      <c r="G67" s="83">
        <v>4260008</v>
      </c>
      <c r="H67" s="82"/>
      <c r="I67" s="83" t="s">
        <v>476</v>
      </c>
    </row>
    <row r="68" spans="1:9">
      <c r="A68" s="81">
        <v>2</v>
      </c>
      <c r="B68" s="82" t="s">
        <v>446</v>
      </c>
      <c r="C68" s="81" t="s">
        <v>447</v>
      </c>
      <c r="D68" s="82" t="s">
        <v>477</v>
      </c>
      <c r="E68" s="83">
        <v>4260008</v>
      </c>
      <c r="F68" s="83">
        <v>0</v>
      </c>
      <c r="G68" s="83">
        <v>0</v>
      </c>
      <c r="H68" s="82" t="s">
        <v>333</v>
      </c>
      <c r="I68" s="83" t="s">
        <v>476</v>
      </c>
    </row>
    <row r="69" spans="1:9">
      <c r="A69" s="81">
        <v>3</v>
      </c>
      <c r="B69" s="82" t="s">
        <v>478</v>
      </c>
      <c r="C69" s="81" t="s">
        <v>479</v>
      </c>
      <c r="D69" s="82" t="s">
        <v>480</v>
      </c>
      <c r="E69" s="83">
        <v>0</v>
      </c>
      <c r="F69" s="83">
        <v>2670000</v>
      </c>
      <c r="G69" s="83">
        <v>2670000</v>
      </c>
      <c r="H69" s="82"/>
      <c r="I69" s="83" t="s">
        <v>476</v>
      </c>
    </row>
    <row r="70" spans="1:9">
      <c r="A70" s="81" t="s">
        <v>169</v>
      </c>
      <c r="B70" s="82" t="s">
        <v>257</v>
      </c>
      <c r="C70" s="81" t="s">
        <v>481</v>
      </c>
      <c r="D70" s="82" t="s">
        <v>259</v>
      </c>
      <c r="E70" s="83">
        <v>0</v>
      </c>
      <c r="F70" s="83">
        <v>2216</v>
      </c>
      <c r="G70" s="83">
        <v>2672216</v>
      </c>
      <c r="H70" s="82"/>
      <c r="I70" s="83" t="s">
        <v>476</v>
      </c>
    </row>
    <row r="71" spans="1:9">
      <c r="A71" s="94" t="s">
        <v>153</v>
      </c>
      <c r="B71" s="94" t="s">
        <v>241</v>
      </c>
      <c r="C71" s="94" t="s">
        <v>242</v>
      </c>
      <c r="D71" s="94" t="s">
        <v>243</v>
      </c>
      <c r="E71" s="94" t="s">
        <v>244</v>
      </c>
      <c r="F71" s="94" t="s">
        <v>245</v>
      </c>
      <c r="G71" s="94" t="s">
        <v>246</v>
      </c>
      <c r="H71" s="94" t="s">
        <v>247</v>
      </c>
      <c r="I71" s="94" t="s">
        <v>154</v>
      </c>
    </row>
    <row r="72" spans="1:9">
      <c r="A72" s="81">
        <v>1</v>
      </c>
      <c r="B72" s="82" t="s">
        <v>482</v>
      </c>
      <c r="C72" s="81" t="s">
        <v>483</v>
      </c>
      <c r="D72" s="82" t="s">
        <v>484</v>
      </c>
      <c r="E72" s="83">
        <v>0</v>
      </c>
      <c r="F72" s="83">
        <v>2500000</v>
      </c>
      <c r="G72" s="83">
        <v>6200833</v>
      </c>
      <c r="H72" s="82"/>
      <c r="I72" s="83" t="s">
        <v>485</v>
      </c>
    </row>
    <row r="73" spans="1:9">
      <c r="A73" s="81">
        <v>2</v>
      </c>
      <c r="B73" s="82" t="s">
        <v>443</v>
      </c>
      <c r="C73" s="81" t="s">
        <v>444</v>
      </c>
      <c r="D73" s="82" t="s">
        <v>477</v>
      </c>
      <c r="E73" s="83">
        <v>6200833</v>
      </c>
      <c r="F73" s="83">
        <v>0</v>
      </c>
      <c r="G73" s="83">
        <v>0</v>
      </c>
      <c r="H73" s="82" t="s">
        <v>333</v>
      </c>
      <c r="I73" s="83" t="s">
        <v>485</v>
      </c>
    </row>
    <row r="74" spans="1:9">
      <c r="A74" s="81">
        <v>3</v>
      </c>
      <c r="B74" s="82" t="s">
        <v>486</v>
      </c>
      <c r="C74" s="81" t="s">
        <v>487</v>
      </c>
      <c r="D74" s="82" t="s">
        <v>488</v>
      </c>
      <c r="E74" s="83">
        <v>0</v>
      </c>
      <c r="F74" s="83">
        <v>1000000</v>
      </c>
      <c r="G74" s="83">
        <v>1000000</v>
      </c>
      <c r="H74" s="82"/>
      <c r="I74" s="83" t="s">
        <v>485</v>
      </c>
    </row>
    <row r="75" spans="1:9">
      <c r="A75" s="81" t="s">
        <v>169</v>
      </c>
      <c r="B75" s="82" t="s">
        <v>257</v>
      </c>
      <c r="C75" s="81" t="s">
        <v>489</v>
      </c>
      <c r="D75" s="82" t="s">
        <v>259</v>
      </c>
      <c r="E75" s="83">
        <v>0</v>
      </c>
      <c r="F75" s="83">
        <v>1361</v>
      </c>
      <c r="G75" s="83">
        <v>1001361</v>
      </c>
      <c r="H75" s="82"/>
      <c r="I75" s="83" t="s">
        <v>485</v>
      </c>
    </row>
    <row r="76" spans="1:9">
      <c r="A76" s="94" t="s">
        <v>153</v>
      </c>
      <c r="B76" s="94" t="s">
        <v>241</v>
      </c>
      <c r="C76" s="94" t="s">
        <v>242</v>
      </c>
      <c r="D76" s="94" t="s">
        <v>243</v>
      </c>
      <c r="E76" s="94" t="s">
        <v>244</v>
      </c>
      <c r="F76" s="94" t="s">
        <v>245</v>
      </c>
      <c r="G76" s="94" t="s">
        <v>246</v>
      </c>
      <c r="H76" s="94" t="s">
        <v>247</v>
      </c>
      <c r="I76" s="94" t="s">
        <v>154</v>
      </c>
    </row>
    <row r="77" spans="1:9">
      <c r="A77" s="81">
        <v>1</v>
      </c>
      <c r="B77" s="82" t="s">
        <v>248</v>
      </c>
      <c r="C77" s="81" t="s">
        <v>249</v>
      </c>
      <c r="D77" s="82" t="s">
        <v>250</v>
      </c>
      <c r="E77" s="83">
        <v>0</v>
      </c>
      <c r="F77" s="83">
        <v>180000000</v>
      </c>
      <c r="G77" s="83">
        <v>180273415</v>
      </c>
      <c r="H77" s="82" t="s">
        <v>251</v>
      </c>
      <c r="I77" s="83" t="s">
        <v>252</v>
      </c>
    </row>
    <row r="78" spans="1:9">
      <c r="A78" s="81">
        <v>2</v>
      </c>
      <c r="B78" s="82" t="s">
        <v>253</v>
      </c>
      <c r="C78" s="81" t="s">
        <v>254</v>
      </c>
      <c r="D78" s="82" t="s">
        <v>255</v>
      </c>
      <c r="E78" s="83">
        <v>180000000</v>
      </c>
      <c r="F78" s="83">
        <v>0</v>
      </c>
      <c r="G78" s="83">
        <v>273415</v>
      </c>
      <c r="H78" s="82" t="s">
        <v>256</v>
      </c>
      <c r="I78" s="83" t="s">
        <v>252</v>
      </c>
    </row>
    <row r="79" spans="1:9">
      <c r="A79" s="81" t="s">
        <v>169</v>
      </c>
      <c r="B79" s="82" t="s">
        <v>257</v>
      </c>
      <c r="C79" s="81" t="s">
        <v>258</v>
      </c>
      <c r="D79" s="82" t="s">
        <v>259</v>
      </c>
      <c r="E79" s="83">
        <v>0</v>
      </c>
      <c r="F79" s="83">
        <v>472</v>
      </c>
      <c r="G79" s="83">
        <v>273887</v>
      </c>
      <c r="H79" s="82"/>
      <c r="I79" s="83" t="s">
        <v>252</v>
      </c>
    </row>
    <row r="80" spans="1:9">
      <c r="A80" s="94" t="s">
        <v>153</v>
      </c>
      <c r="B80" s="94" t="s">
        <v>241</v>
      </c>
      <c r="C80" s="94" t="s">
        <v>242</v>
      </c>
      <c r="D80" s="94" t="s">
        <v>243</v>
      </c>
      <c r="E80" s="94" t="s">
        <v>244</v>
      </c>
      <c r="F80" s="94" t="s">
        <v>245</v>
      </c>
      <c r="G80" s="94" t="s">
        <v>246</v>
      </c>
      <c r="H80" s="94" t="s">
        <v>247</v>
      </c>
      <c r="I80" s="94" t="s">
        <v>154</v>
      </c>
    </row>
    <row r="81" spans="1:9">
      <c r="A81" s="81">
        <v>1</v>
      </c>
      <c r="B81" s="82" t="s">
        <v>260</v>
      </c>
      <c r="C81" s="81" t="s">
        <v>261</v>
      </c>
      <c r="D81" s="82" t="s">
        <v>262</v>
      </c>
      <c r="E81" s="83">
        <v>0</v>
      </c>
      <c r="F81" s="83">
        <v>400000000</v>
      </c>
      <c r="G81" s="83">
        <v>407619830</v>
      </c>
      <c r="H81" s="82"/>
      <c r="I81" s="83" t="s">
        <v>263</v>
      </c>
    </row>
    <row r="82" spans="1:9">
      <c r="A82" s="81">
        <v>2</v>
      </c>
      <c r="B82" s="82" t="s">
        <v>260</v>
      </c>
      <c r="C82" s="81" t="s">
        <v>264</v>
      </c>
      <c r="D82" s="82" t="s">
        <v>265</v>
      </c>
      <c r="E82" s="83">
        <v>0</v>
      </c>
      <c r="F82" s="83">
        <v>300000000</v>
      </c>
      <c r="G82" s="83">
        <v>707619830</v>
      </c>
      <c r="H82" s="82"/>
      <c r="I82" s="83" t="s">
        <v>263</v>
      </c>
    </row>
    <row r="83" spans="1:9">
      <c r="A83" s="81">
        <v>3</v>
      </c>
      <c r="B83" s="82" t="s">
        <v>253</v>
      </c>
      <c r="C83" s="81" t="s">
        <v>254</v>
      </c>
      <c r="D83" s="82" t="s">
        <v>266</v>
      </c>
      <c r="E83" s="83">
        <v>0</v>
      </c>
      <c r="F83" s="83">
        <v>180000000</v>
      </c>
      <c r="G83" s="83">
        <v>887619830</v>
      </c>
      <c r="H83" s="82" t="s">
        <v>267</v>
      </c>
      <c r="I83" s="83" t="s">
        <v>263</v>
      </c>
    </row>
    <row r="84" spans="1:9">
      <c r="A84" s="81">
        <v>4</v>
      </c>
      <c r="B84" s="82" t="s">
        <v>268</v>
      </c>
      <c r="C84" s="81" t="s">
        <v>269</v>
      </c>
      <c r="D84" s="82" t="s">
        <v>270</v>
      </c>
      <c r="E84" s="83">
        <v>50000000</v>
      </c>
      <c r="F84" s="83">
        <v>0</v>
      </c>
      <c r="G84" s="83">
        <v>837619830</v>
      </c>
      <c r="H84" s="82" t="s">
        <v>271</v>
      </c>
      <c r="I84" s="83" t="s">
        <v>263</v>
      </c>
    </row>
    <row r="85" spans="1:9">
      <c r="A85" s="81">
        <v>5</v>
      </c>
      <c r="B85" s="82" t="s">
        <v>272</v>
      </c>
      <c r="C85" s="81" t="s">
        <v>273</v>
      </c>
      <c r="D85" s="82" t="s">
        <v>274</v>
      </c>
      <c r="E85" s="83">
        <v>400000000</v>
      </c>
      <c r="F85" s="83">
        <v>0</v>
      </c>
      <c r="G85" s="83">
        <v>437619830</v>
      </c>
      <c r="H85" s="82" t="s">
        <v>275</v>
      </c>
      <c r="I85" s="83" t="s">
        <v>263</v>
      </c>
    </row>
    <row r="86" spans="1:9">
      <c r="A86" s="81">
        <v>6</v>
      </c>
      <c r="B86" s="82" t="s">
        <v>272</v>
      </c>
      <c r="C86" s="81" t="s">
        <v>276</v>
      </c>
      <c r="D86" s="82" t="s">
        <v>277</v>
      </c>
      <c r="E86" s="83">
        <v>387000000</v>
      </c>
      <c r="F86" s="83">
        <v>0</v>
      </c>
      <c r="G86" s="83">
        <v>50619830</v>
      </c>
      <c r="H86" s="82" t="s">
        <v>275</v>
      </c>
      <c r="I86" s="83" t="s">
        <v>263</v>
      </c>
    </row>
    <row r="87" spans="1:9">
      <c r="A87" s="81">
        <v>7</v>
      </c>
      <c r="B87" s="82" t="s">
        <v>278</v>
      </c>
      <c r="C87" s="81" t="s">
        <v>279</v>
      </c>
      <c r="D87" s="82" t="s">
        <v>280</v>
      </c>
      <c r="E87" s="83">
        <v>0</v>
      </c>
      <c r="F87" s="83">
        <v>150000000</v>
      </c>
      <c r="G87" s="83">
        <v>200619830</v>
      </c>
      <c r="H87" s="82"/>
      <c r="I87" s="83" t="s">
        <v>263</v>
      </c>
    </row>
    <row r="88" spans="1:9">
      <c r="A88" s="81">
        <v>8</v>
      </c>
      <c r="B88" s="82" t="s">
        <v>281</v>
      </c>
      <c r="C88" s="81" t="s">
        <v>282</v>
      </c>
      <c r="D88" s="82" t="s">
        <v>283</v>
      </c>
      <c r="E88" s="83">
        <v>198726508</v>
      </c>
      <c r="F88" s="83">
        <v>0</v>
      </c>
      <c r="G88" s="83">
        <v>1893322</v>
      </c>
      <c r="H88" s="82" t="s">
        <v>284</v>
      </c>
      <c r="I88" s="83" t="s">
        <v>263</v>
      </c>
    </row>
    <row r="89" spans="1:9" ht="15.75" thickBot="1">
      <c r="A89" s="81" t="s">
        <v>169</v>
      </c>
      <c r="B89" s="82" t="s">
        <v>257</v>
      </c>
      <c r="C89" s="81" t="s">
        <v>285</v>
      </c>
      <c r="D89" s="82" t="s">
        <v>259</v>
      </c>
      <c r="E89" s="83">
        <v>0</v>
      </c>
      <c r="F89" s="83">
        <v>245</v>
      </c>
      <c r="G89" s="83">
        <v>1893567</v>
      </c>
      <c r="H89" s="82"/>
      <c r="I89" s="83" t="s">
        <v>263</v>
      </c>
    </row>
    <row r="90" spans="1:9" ht="15.75" thickBot="1">
      <c r="A90" s="52" t="s">
        <v>153</v>
      </c>
      <c r="B90" s="53" t="s">
        <v>286</v>
      </c>
      <c r="C90" s="53" t="s">
        <v>287</v>
      </c>
      <c r="D90" s="53" t="s">
        <v>288</v>
      </c>
      <c r="E90" s="53" t="s">
        <v>289</v>
      </c>
      <c r="F90" s="52" t="s">
        <v>290</v>
      </c>
      <c r="G90" s="52" t="s">
        <v>291</v>
      </c>
      <c r="H90" s="53" t="s">
        <v>288</v>
      </c>
      <c r="I90" s="54" t="s">
        <v>154</v>
      </c>
    </row>
    <row r="91" spans="1:9" ht="15.75" thickBot="1">
      <c r="A91" s="55" t="s">
        <v>292</v>
      </c>
      <c r="B91" s="56" t="s">
        <v>293</v>
      </c>
      <c r="C91" s="57" t="s">
        <v>304</v>
      </c>
      <c r="D91" s="57" t="s">
        <v>305</v>
      </c>
      <c r="E91" s="58"/>
      <c r="F91" s="59">
        <v>25000000</v>
      </c>
      <c r="G91" s="59">
        <v>26977230</v>
      </c>
      <c r="H91" s="57" t="s">
        <v>305</v>
      </c>
      <c r="I91" s="54" t="s">
        <v>1224</v>
      </c>
    </row>
    <row r="92" spans="1:9" ht="15.75" thickBot="1">
      <c r="A92" s="55" t="s">
        <v>297</v>
      </c>
      <c r="B92" s="56" t="s">
        <v>293</v>
      </c>
      <c r="C92" s="57" t="s">
        <v>1225</v>
      </c>
      <c r="D92" s="57" t="s">
        <v>1226</v>
      </c>
      <c r="E92" s="60">
        <v>25900000</v>
      </c>
      <c r="F92" s="58"/>
      <c r="G92" s="59">
        <v>1077230</v>
      </c>
      <c r="H92" s="57" t="s">
        <v>1226</v>
      </c>
      <c r="I92" s="54" t="s">
        <v>1224</v>
      </c>
    </row>
    <row r="93" spans="1:9" ht="15.75" thickBot="1">
      <c r="A93" s="55" t="s">
        <v>300</v>
      </c>
      <c r="B93" s="56" t="s">
        <v>293</v>
      </c>
      <c r="C93" s="57" t="s">
        <v>1225</v>
      </c>
      <c r="D93" s="57" t="s">
        <v>494</v>
      </c>
      <c r="E93" s="60">
        <v>14300</v>
      </c>
      <c r="F93" s="58"/>
      <c r="G93" s="59">
        <v>1062930</v>
      </c>
      <c r="H93" s="57" t="s">
        <v>494</v>
      </c>
      <c r="I93" s="54" t="s">
        <v>1224</v>
      </c>
    </row>
    <row r="94" spans="1:9" ht="15.75" thickBot="1">
      <c r="A94" s="55" t="s">
        <v>169</v>
      </c>
      <c r="B94" s="56" t="s">
        <v>293</v>
      </c>
      <c r="C94" s="57" t="s">
        <v>1227</v>
      </c>
      <c r="D94" s="57" t="s">
        <v>1228</v>
      </c>
      <c r="E94" s="58"/>
      <c r="F94" s="55" t="s">
        <v>777</v>
      </c>
      <c r="G94" s="59">
        <v>1063013</v>
      </c>
      <c r="H94" s="57" t="s">
        <v>1228</v>
      </c>
      <c r="I94" s="54" t="s">
        <v>1224</v>
      </c>
    </row>
    <row r="95" spans="1:9" ht="15.75" thickBot="1">
      <c r="A95" s="52" t="s">
        <v>153</v>
      </c>
      <c r="B95" s="53" t="s">
        <v>286</v>
      </c>
      <c r="C95" s="53" t="s">
        <v>287</v>
      </c>
      <c r="D95" s="53" t="s">
        <v>288</v>
      </c>
      <c r="E95" s="53" t="s">
        <v>289</v>
      </c>
      <c r="F95" s="52" t="s">
        <v>290</v>
      </c>
      <c r="G95" s="52" t="s">
        <v>291</v>
      </c>
      <c r="H95" s="53" t="s">
        <v>288</v>
      </c>
      <c r="I95" s="54" t="s">
        <v>154</v>
      </c>
    </row>
    <row r="96" spans="1:9" ht="15.75" thickBot="1">
      <c r="A96" s="55" t="s">
        <v>292</v>
      </c>
      <c r="B96" s="56" t="s">
        <v>293</v>
      </c>
      <c r="C96" s="57" t="s">
        <v>294</v>
      </c>
      <c r="D96" s="57" t="s">
        <v>295</v>
      </c>
      <c r="E96" s="58"/>
      <c r="F96" s="59">
        <v>3560000</v>
      </c>
      <c r="G96" s="59">
        <v>17799364</v>
      </c>
      <c r="H96" s="57" t="s">
        <v>295</v>
      </c>
      <c r="I96" s="54" t="s">
        <v>296</v>
      </c>
    </row>
    <row r="97" spans="1:9" ht="15.75" thickBot="1">
      <c r="A97" s="55" t="s">
        <v>297</v>
      </c>
      <c r="B97" s="56" t="s">
        <v>293</v>
      </c>
      <c r="C97" s="57" t="s">
        <v>298</v>
      </c>
      <c r="D97" s="57" t="s">
        <v>299</v>
      </c>
      <c r="E97" s="58"/>
      <c r="F97" s="59">
        <v>3560000</v>
      </c>
      <c r="G97" s="59">
        <v>21359364</v>
      </c>
      <c r="H97" s="57" t="s">
        <v>299</v>
      </c>
      <c r="I97" s="54" t="s">
        <v>296</v>
      </c>
    </row>
    <row r="98" spans="1:9" ht="15.75" thickBot="1">
      <c r="A98" s="55" t="s">
        <v>300</v>
      </c>
      <c r="B98" s="56" t="s">
        <v>293</v>
      </c>
      <c r="C98" s="57" t="s">
        <v>301</v>
      </c>
      <c r="D98" s="57" t="s">
        <v>302</v>
      </c>
      <c r="E98" s="58"/>
      <c r="F98" s="59">
        <v>4700000</v>
      </c>
      <c r="G98" s="59">
        <v>26059364</v>
      </c>
      <c r="H98" s="57" t="s">
        <v>302</v>
      </c>
      <c r="I98" s="54" t="s">
        <v>296</v>
      </c>
    </row>
    <row r="99" spans="1:9" ht="15.75" thickBot="1">
      <c r="A99" s="55" t="s">
        <v>303</v>
      </c>
      <c r="B99" s="56" t="s">
        <v>293</v>
      </c>
      <c r="C99" s="57" t="s">
        <v>304</v>
      </c>
      <c r="D99" s="57" t="s">
        <v>305</v>
      </c>
      <c r="E99" s="60">
        <v>25000000</v>
      </c>
      <c r="F99" s="58"/>
      <c r="G99" s="59">
        <v>1059364</v>
      </c>
      <c r="H99" s="57" t="s">
        <v>305</v>
      </c>
      <c r="I99" s="54" t="s">
        <v>296</v>
      </c>
    </row>
    <row r="100" spans="1:9" ht="15.75" thickBot="1">
      <c r="A100" s="55" t="s">
        <v>306</v>
      </c>
      <c r="B100" s="56" t="s">
        <v>293</v>
      </c>
      <c r="C100" s="57" t="s">
        <v>307</v>
      </c>
      <c r="D100" s="57" t="s">
        <v>308</v>
      </c>
      <c r="E100" s="60">
        <v>44000</v>
      </c>
      <c r="F100" s="58"/>
      <c r="G100" s="59">
        <v>1015364</v>
      </c>
      <c r="H100" s="57" t="s">
        <v>308</v>
      </c>
      <c r="I100" s="54" t="s">
        <v>296</v>
      </c>
    </row>
    <row r="101" spans="1:9" ht="15.75" thickBot="1">
      <c r="A101" s="55" t="s">
        <v>309</v>
      </c>
      <c r="B101" s="56" t="s">
        <v>293</v>
      </c>
      <c r="C101" s="57" t="s">
        <v>310</v>
      </c>
      <c r="D101" s="57" t="s">
        <v>311</v>
      </c>
      <c r="E101" s="58"/>
      <c r="F101" s="59">
        <v>3560000</v>
      </c>
      <c r="G101" s="59">
        <v>4575364</v>
      </c>
      <c r="H101" s="57" t="s">
        <v>311</v>
      </c>
      <c r="I101" s="54" t="s">
        <v>296</v>
      </c>
    </row>
    <row r="102" spans="1:9" ht="15.75" thickBot="1">
      <c r="A102" s="55" t="s">
        <v>169</v>
      </c>
      <c r="B102" s="56" t="s">
        <v>293</v>
      </c>
      <c r="C102" s="57" t="s">
        <v>312</v>
      </c>
      <c r="D102" s="57" t="s">
        <v>313</v>
      </c>
      <c r="E102" s="58"/>
      <c r="F102" s="55" t="s">
        <v>314</v>
      </c>
      <c r="G102" s="59">
        <v>4576303</v>
      </c>
      <c r="H102" s="57" t="s">
        <v>313</v>
      </c>
      <c r="I102" s="54" t="s">
        <v>296</v>
      </c>
    </row>
    <row r="103" spans="1:9" ht="15.75" thickBot="1">
      <c r="A103" s="52" t="s">
        <v>153</v>
      </c>
      <c r="B103" s="53" t="s">
        <v>286</v>
      </c>
      <c r="C103" s="53" t="s">
        <v>287</v>
      </c>
      <c r="D103" s="53" t="s">
        <v>288</v>
      </c>
      <c r="E103" s="53" t="s">
        <v>289</v>
      </c>
      <c r="F103" s="52" t="s">
        <v>290</v>
      </c>
      <c r="G103" s="52" t="s">
        <v>291</v>
      </c>
      <c r="H103" s="53" t="s">
        <v>288</v>
      </c>
      <c r="I103" s="54" t="s">
        <v>154</v>
      </c>
    </row>
    <row r="104" spans="1:9" ht="15.75" thickBot="1">
      <c r="A104" s="55" t="s">
        <v>292</v>
      </c>
      <c r="B104" s="56" t="s">
        <v>293</v>
      </c>
      <c r="C104" s="57" t="s">
        <v>490</v>
      </c>
      <c r="D104" s="57" t="s">
        <v>305</v>
      </c>
      <c r="E104" s="58"/>
      <c r="F104" s="59">
        <v>16508413</v>
      </c>
      <c r="G104" s="59">
        <v>17755233</v>
      </c>
      <c r="H104" s="57" t="s">
        <v>305</v>
      </c>
      <c r="I104" s="54" t="s">
        <v>491</v>
      </c>
    </row>
    <row r="105" spans="1:9" ht="15.75" thickBot="1">
      <c r="A105" s="55" t="s">
        <v>297</v>
      </c>
      <c r="B105" s="56" t="s">
        <v>293</v>
      </c>
      <c r="C105" s="57" t="s">
        <v>492</v>
      </c>
      <c r="D105" s="57" t="s">
        <v>493</v>
      </c>
      <c r="E105" s="60">
        <v>16700000</v>
      </c>
      <c r="F105" s="58"/>
      <c r="G105" s="59">
        <v>1055233</v>
      </c>
      <c r="H105" s="57" t="s">
        <v>493</v>
      </c>
      <c r="I105" s="54" t="s">
        <v>491</v>
      </c>
    </row>
    <row r="106" spans="1:9" ht="15.75" thickBot="1">
      <c r="A106" s="55" t="s">
        <v>300</v>
      </c>
      <c r="B106" s="56" t="s">
        <v>293</v>
      </c>
      <c r="C106" s="57" t="s">
        <v>492</v>
      </c>
      <c r="D106" s="57" t="s">
        <v>494</v>
      </c>
      <c r="E106" s="60">
        <v>14300</v>
      </c>
      <c r="F106" s="58"/>
      <c r="G106" s="59">
        <v>1040933</v>
      </c>
      <c r="H106" s="57" t="s">
        <v>494</v>
      </c>
      <c r="I106" s="54" t="s">
        <v>491</v>
      </c>
    </row>
    <row r="107" spans="1:9" ht="15.75" thickBot="1">
      <c r="A107" s="55" t="s">
        <v>169</v>
      </c>
      <c r="B107" s="56" t="s">
        <v>293</v>
      </c>
      <c r="C107" s="57" t="s">
        <v>495</v>
      </c>
      <c r="D107" s="57" t="s">
        <v>496</v>
      </c>
      <c r="E107" s="58"/>
      <c r="F107" s="55" t="s">
        <v>497</v>
      </c>
      <c r="G107" s="59">
        <v>1040956</v>
      </c>
      <c r="H107" s="57" t="s">
        <v>496</v>
      </c>
      <c r="I107" s="54" t="s">
        <v>491</v>
      </c>
    </row>
    <row r="108" spans="1:9" ht="15.75" thickBot="1">
      <c r="A108" s="52" t="s">
        <v>153</v>
      </c>
      <c r="B108" s="53" t="s">
        <v>286</v>
      </c>
      <c r="C108" s="53" t="s">
        <v>287</v>
      </c>
      <c r="D108" s="53" t="s">
        <v>288</v>
      </c>
      <c r="E108" s="53" t="s">
        <v>289</v>
      </c>
      <c r="F108" s="52" t="s">
        <v>290</v>
      </c>
      <c r="G108" s="52" t="s">
        <v>291</v>
      </c>
      <c r="H108" s="53" t="s">
        <v>288</v>
      </c>
      <c r="I108" s="54" t="s">
        <v>154</v>
      </c>
    </row>
    <row r="109" spans="1:9" ht="15.75" thickBot="1">
      <c r="A109" s="55" t="s">
        <v>292</v>
      </c>
      <c r="B109" s="56" t="s">
        <v>293</v>
      </c>
      <c r="C109" s="57" t="s">
        <v>498</v>
      </c>
      <c r="D109" s="57" t="s">
        <v>499</v>
      </c>
      <c r="E109" s="58"/>
      <c r="F109" s="59">
        <v>2820000</v>
      </c>
      <c r="G109" s="59">
        <v>13838413</v>
      </c>
      <c r="H109" s="57" t="s">
        <v>499</v>
      </c>
      <c r="I109" s="54" t="s">
        <v>500</v>
      </c>
    </row>
    <row r="110" spans="1:9" ht="15.75" thickBot="1">
      <c r="A110" s="55" t="s">
        <v>297</v>
      </c>
      <c r="B110" s="56" t="s">
        <v>293</v>
      </c>
      <c r="C110" s="57" t="s">
        <v>501</v>
      </c>
      <c r="D110" s="57" t="s">
        <v>502</v>
      </c>
      <c r="E110" s="58"/>
      <c r="F110" s="59">
        <v>3670000</v>
      </c>
      <c r="G110" s="59">
        <v>17508413</v>
      </c>
      <c r="H110" s="57" t="s">
        <v>502</v>
      </c>
      <c r="I110" s="54" t="s">
        <v>500</v>
      </c>
    </row>
    <row r="111" spans="1:9" ht="15.75" thickBot="1">
      <c r="A111" s="55" t="s">
        <v>300</v>
      </c>
      <c r="B111" s="56" t="s">
        <v>293</v>
      </c>
      <c r="C111" s="57" t="s">
        <v>490</v>
      </c>
      <c r="D111" s="57" t="s">
        <v>305</v>
      </c>
      <c r="E111" s="60">
        <v>16508413</v>
      </c>
      <c r="F111" s="58"/>
      <c r="G111" s="59">
        <v>1000000</v>
      </c>
      <c r="H111" s="57" t="s">
        <v>305</v>
      </c>
      <c r="I111" s="54" t="s">
        <v>500</v>
      </c>
    </row>
    <row r="112" spans="1:9" ht="15.75" thickBot="1">
      <c r="A112" s="55" t="s">
        <v>169</v>
      </c>
      <c r="B112" s="56" t="s">
        <v>293</v>
      </c>
      <c r="C112" s="57" t="s">
        <v>503</v>
      </c>
      <c r="D112" s="57" t="s">
        <v>504</v>
      </c>
      <c r="E112" s="58"/>
      <c r="F112" s="55" t="s">
        <v>505</v>
      </c>
      <c r="G112" s="59">
        <v>1000744</v>
      </c>
      <c r="H112" s="57" t="s">
        <v>504</v>
      </c>
      <c r="I112" s="54" t="s">
        <v>500</v>
      </c>
    </row>
    <row r="113" spans="1:9" ht="15.75" thickBot="1">
      <c r="A113" s="52" t="s">
        <v>153</v>
      </c>
      <c r="B113" s="53" t="s">
        <v>286</v>
      </c>
      <c r="C113" s="53" t="s">
        <v>287</v>
      </c>
      <c r="D113" s="53" t="s">
        <v>288</v>
      </c>
      <c r="E113" s="53" t="s">
        <v>289</v>
      </c>
      <c r="F113" s="52" t="s">
        <v>290</v>
      </c>
      <c r="G113" s="52" t="s">
        <v>291</v>
      </c>
      <c r="H113" s="53" t="s">
        <v>288</v>
      </c>
      <c r="I113" s="54" t="s">
        <v>154</v>
      </c>
    </row>
    <row r="114" spans="1:9" ht="15.75" thickBot="1">
      <c r="A114" s="55" t="s">
        <v>292</v>
      </c>
      <c r="B114" s="56" t="s">
        <v>293</v>
      </c>
      <c r="C114" s="57" t="s">
        <v>506</v>
      </c>
      <c r="D114" s="57" t="s">
        <v>305</v>
      </c>
      <c r="E114" s="58"/>
      <c r="F114" s="59">
        <v>65006710</v>
      </c>
      <c r="G114" s="59">
        <v>66260086</v>
      </c>
      <c r="H114" s="57" t="s">
        <v>305</v>
      </c>
      <c r="I114" s="54" t="s">
        <v>507</v>
      </c>
    </row>
    <row r="115" spans="1:9" ht="15.75" thickBot="1">
      <c r="A115" s="55" t="s">
        <v>297</v>
      </c>
      <c r="B115" s="56" t="s">
        <v>293</v>
      </c>
      <c r="C115" s="57" t="s">
        <v>508</v>
      </c>
      <c r="D115" s="57" t="s">
        <v>509</v>
      </c>
      <c r="E115" s="60">
        <v>65200000</v>
      </c>
      <c r="F115" s="58"/>
      <c r="G115" s="59">
        <v>1060086</v>
      </c>
      <c r="H115" s="57" t="s">
        <v>509</v>
      </c>
      <c r="I115" s="54" t="s">
        <v>507</v>
      </c>
    </row>
    <row r="116" spans="1:9" ht="15.75" thickBot="1">
      <c r="A116" s="55" t="s">
        <v>300</v>
      </c>
      <c r="B116" s="56" t="s">
        <v>293</v>
      </c>
      <c r="C116" s="57" t="s">
        <v>508</v>
      </c>
      <c r="D116" s="57" t="s">
        <v>494</v>
      </c>
      <c r="E116" s="60">
        <v>14300</v>
      </c>
      <c r="F116" s="58"/>
      <c r="G116" s="59">
        <v>1045786</v>
      </c>
      <c r="H116" s="57" t="s">
        <v>494</v>
      </c>
      <c r="I116" s="54" t="s">
        <v>507</v>
      </c>
    </row>
    <row r="117" spans="1:9" ht="15.75" thickBot="1">
      <c r="A117" s="55" t="s">
        <v>169</v>
      </c>
      <c r="B117" s="56" t="s">
        <v>293</v>
      </c>
      <c r="C117" s="57" t="s">
        <v>510</v>
      </c>
      <c r="D117" s="57" t="s">
        <v>511</v>
      </c>
      <c r="E117" s="58"/>
      <c r="F117" s="55" t="s">
        <v>20</v>
      </c>
      <c r="G117" s="59">
        <v>1045898</v>
      </c>
      <c r="H117" s="57" t="s">
        <v>511</v>
      </c>
      <c r="I117" s="54" t="s">
        <v>507</v>
      </c>
    </row>
    <row r="118" spans="1:9" ht="15.75" thickBot="1">
      <c r="A118" s="52" t="s">
        <v>153</v>
      </c>
      <c r="B118" s="53" t="s">
        <v>286</v>
      </c>
      <c r="C118" s="53" t="s">
        <v>287</v>
      </c>
      <c r="D118" s="53" t="s">
        <v>288</v>
      </c>
      <c r="E118" s="53" t="s">
        <v>289</v>
      </c>
      <c r="F118" s="52" t="s">
        <v>290</v>
      </c>
      <c r="G118" s="52" t="s">
        <v>291</v>
      </c>
      <c r="H118" s="53" t="s">
        <v>288</v>
      </c>
      <c r="I118" s="54" t="s">
        <v>154</v>
      </c>
    </row>
    <row r="119" spans="1:9" ht="15.75" thickBot="1">
      <c r="A119" s="55" t="s">
        <v>292</v>
      </c>
      <c r="B119" s="56" t="s">
        <v>293</v>
      </c>
      <c r="C119" s="57" t="s">
        <v>512</v>
      </c>
      <c r="D119" s="57" t="s">
        <v>513</v>
      </c>
      <c r="E119" s="58"/>
      <c r="F119" s="59">
        <v>2670000</v>
      </c>
      <c r="G119" s="59">
        <v>48686710</v>
      </c>
      <c r="H119" s="57" t="s">
        <v>513</v>
      </c>
      <c r="I119" s="54" t="s">
        <v>514</v>
      </c>
    </row>
    <row r="120" spans="1:9" ht="15.75" thickBot="1">
      <c r="A120" s="55" t="s">
        <v>297</v>
      </c>
      <c r="B120" s="56" t="s">
        <v>293</v>
      </c>
      <c r="C120" s="57" t="s">
        <v>515</v>
      </c>
      <c r="D120" s="57" t="s">
        <v>516</v>
      </c>
      <c r="E120" s="58"/>
      <c r="F120" s="59">
        <v>3550000</v>
      </c>
      <c r="G120" s="59">
        <v>52236710</v>
      </c>
      <c r="H120" s="57" t="s">
        <v>516</v>
      </c>
      <c r="I120" s="54" t="s">
        <v>514</v>
      </c>
    </row>
    <row r="121" spans="1:9" ht="15.75" thickBot="1">
      <c r="A121" s="55" t="s">
        <v>300</v>
      </c>
      <c r="B121" s="56" t="s">
        <v>293</v>
      </c>
      <c r="C121" s="57" t="s">
        <v>517</v>
      </c>
      <c r="D121" s="57" t="s">
        <v>518</v>
      </c>
      <c r="E121" s="58"/>
      <c r="F121" s="59">
        <v>5080000</v>
      </c>
      <c r="G121" s="59">
        <v>57316710</v>
      </c>
      <c r="H121" s="57" t="s">
        <v>518</v>
      </c>
      <c r="I121" s="54" t="s">
        <v>514</v>
      </c>
    </row>
    <row r="122" spans="1:9" ht="15.75" thickBot="1">
      <c r="A122" s="55" t="s">
        <v>303</v>
      </c>
      <c r="B122" s="56" t="s">
        <v>293</v>
      </c>
      <c r="C122" s="57" t="s">
        <v>519</v>
      </c>
      <c r="D122" s="57" t="s">
        <v>520</v>
      </c>
      <c r="E122" s="58"/>
      <c r="F122" s="59">
        <v>1850000</v>
      </c>
      <c r="G122" s="59">
        <v>59166710</v>
      </c>
      <c r="H122" s="57" t="s">
        <v>520</v>
      </c>
      <c r="I122" s="54" t="s">
        <v>514</v>
      </c>
    </row>
    <row r="123" spans="1:9" ht="15.75" thickBot="1">
      <c r="A123" s="55" t="s">
        <v>306</v>
      </c>
      <c r="B123" s="56" t="s">
        <v>293</v>
      </c>
      <c r="C123" s="57" t="s">
        <v>521</v>
      </c>
      <c r="D123" s="57" t="s">
        <v>522</v>
      </c>
      <c r="E123" s="58"/>
      <c r="F123" s="59">
        <v>4170000</v>
      </c>
      <c r="G123" s="59">
        <v>63336710</v>
      </c>
      <c r="H123" s="57" t="s">
        <v>522</v>
      </c>
      <c r="I123" s="54" t="s">
        <v>514</v>
      </c>
    </row>
    <row r="124" spans="1:9" ht="15.75" thickBot="1">
      <c r="A124" s="55" t="s">
        <v>309</v>
      </c>
      <c r="B124" s="56" t="s">
        <v>293</v>
      </c>
      <c r="C124" s="57" t="s">
        <v>523</v>
      </c>
      <c r="D124" s="57" t="s">
        <v>524</v>
      </c>
      <c r="E124" s="58"/>
      <c r="F124" s="59">
        <v>2670000</v>
      </c>
      <c r="G124" s="59">
        <v>66006710</v>
      </c>
      <c r="H124" s="57" t="s">
        <v>524</v>
      </c>
      <c r="I124" s="54" t="s">
        <v>514</v>
      </c>
    </row>
    <row r="125" spans="1:9" ht="15.75" thickBot="1">
      <c r="A125" s="55" t="s">
        <v>525</v>
      </c>
      <c r="B125" s="56" t="s">
        <v>293</v>
      </c>
      <c r="C125" s="57" t="s">
        <v>506</v>
      </c>
      <c r="D125" s="57" t="s">
        <v>305</v>
      </c>
      <c r="E125" s="60">
        <v>65006710</v>
      </c>
      <c r="F125" s="58"/>
      <c r="G125" s="59">
        <v>1000000</v>
      </c>
      <c r="H125" s="57" t="s">
        <v>305</v>
      </c>
      <c r="I125" s="54" t="s">
        <v>514</v>
      </c>
    </row>
    <row r="126" spans="1:9" ht="15.75" thickBot="1">
      <c r="A126" s="55" t="s">
        <v>526</v>
      </c>
      <c r="B126" s="56" t="s">
        <v>293</v>
      </c>
      <c r="C126" s="57" t="s">
        <v>527</v>
      </c>
      <c r="D126" s="57" t="s">
        <v>528</v>
      </c>
      <c r="E126" s="58"/>
      <c r="F126" s="59">
        <v>19700000</v>
      </c>
      <c r="G126" s="59">
        <v>20700000</v>
      </c>
      <c r="H126" s="57" t="s">
        <v>528</v>
      </c>
      <c r="I126" s="54" t="s">
        <v>514</v>
      </c>
    </row>
    <row r="127" spans="1:9" ht="15.75" thickBot="1">
      <c r="A127" s="55" t="s">
        <v>529</v>
      </c>
      <c r="B127" s="56" t="s">
        <v>293</v>
      </c>
      <c r="C127" s="57" t="s">
        <v>530</v>
      </c>
      <c r="D127" s="57" t="s">
        <v>531</v>
      </c>
      <c r="E127" s="60">
        <v>44000</v>
      </c>
      <c r="F127" s="58"/>
      <c r="G127" s="59">
        <v>20656000</v>
      </c>
      <c r="H127" s="57" t="s">
        <v>531</v>
      </c>
      <c r="I127" s="54" t="s">
        <v>514</v>
      </c>
    </row>
    <row r="128" spans="1:9" ht="15.75" thickBot="1">
      <c r="A128" s="55" t="s">
        <v>532</v>
      </c>
      <c r="B128" s="56" t="s">
        <v>293</v>
      </c>
      <c r="C128" s="57" t="s">
        <v>533</v>
      </c>
      <c r="D128" s="57" t="s">
        <v>534</v>
      </c>
      <c r="E128" s="58"/>
      <c r="F128" s="59">
        <v>1150000</v>
      </c>
      <c r="G128" s="59">
        <v>21806000</v>
      </c>
      <c r="H128" s="57" t="s">
        <v>534</v>
      </c>
      <c r="I128" s="54" t="s">
        <v>514</v>
      </c>
    </row>
    <row r="129" spans="1:9" ht="15.75" thickBot="1">
      <c r="A129" s="55" t="s">
        <v>535</v>
      </c>
      <c r="B129" s="56" t="s">
        <v>293</v>
      </c>
      <c r="C129" s="57" t="s">
        <v>536</v>
      </c>
      <c r="D129" s="57" t="s">
        <v>537</v>
      </c>
      <c r="E129" s="58"/>
      <c r="F129" s="59">
        <v>5340000</v>
      </c>
      <c r="G129" s="59">
        <v>27146000</v>
      </c>
      <c r="H129" s="57" t="s">
        <v>537</v>
      </c>
      <c r="I129" s="54" t="s">
        <v>514</v>
      </c>
    </row>
    <row r="130" spans="1:9" ht="15.75" thickBot="1">
      <c r="A130" s="55" t="s">
        <v>538</v>
      </c>
      <c r="B130" s="56" t="s">
        <v>293</v>
      </c>
      <c r="C130" s="57" t="s">
        <v>539</v>
      </c>
      <c r="D130" s="57" t="s">
        <v>540</v>
      </c>
      <c r="E130" s="58"/>
      <c r="F130" s="59">
        <v>1735</v>
      </c>
      <c r="G130" s="59">
        <v>27147735</v>
      </c>
      <c r="H130" s="57" t="s">
        <v>540</v>
      </c>
      <c r="I130" s="54" t="s">
        <v>514</v>
      </c>
    </row>
    <row r="131" spans="1:9" ht="15.75" thickBot="1">
      <c r="A131" s="55" t="s">
        <v>169</v>
      </c>
      <c r="B131" s="56" t="s">
        <v>541</v>
      </c>
      <c r="C131" s="57" t="s">
        <v>542</v>
      </c>
      <c r="D131" s="57" t="s">
        <v>543</v>
      </c>
      <c r="E131" s="58"/>
      <c r="F131" s="59">
        <v>5340000</v>
      </c>
      <c r="G131" s="59">
        <v>32487735</v>
      </c>
      <c r="H131" s="57" t="s">
        <v>543</v>
      </c>
      <c r="I131" s="54" t="s">
        <v>514</v>
      </c>
    </row>
    <row r="132" spans="1:9" ht="15.75" thickBot="1">
      <c r="A132" s="52" t="s">
        <v>153</v>
      </c>
      <c r="B132" s="53" t="s">
        <v>286</v>
      </c>
      <c r="C132" s="53" t="s">
        <v>287</v>
      </c>
      <c r="D132" s="53" t="s">
        <v>288</v>
      </c>
      <c r="E132" s="53" t="s">
        <v>289</v>
      </c>
      <c r="F132" s="52" t="s">
        <v>290</v>
      </c>
      <c r="G132" s="52" t="s">
        <v>291</v>
      </c>
      <c r="H132" s="53" t="s">
        <v>288</v>
      </c>
      <c r="I132" s="54" t="s">
        <v>154</v>
      </c>
    </row>
    <row r="133" spans="1:9" ht="15.75" thickBot="1">
      <c r="A133" s="55" t="s">
        <v>292</v>
      </c>
      <c r="B133" s="56" t="s">
        <v>293</v>
      </c>
      <c r="C133" s="57" t="s">
        <v>544</v>
      </c>
      <c r="D133" s="57" t="s">
        <v>545</v>
      </c>
      <c r="E133" s="58"/>
      <c r="F133" s="55">
        <v>300000</v>
      </c>
      <c r="G133" s="59">
        <v>314301006</v>
      </c>
      <c r="H133" s="57" t="s">
        <v>545</v>
      </c>
      <c r="I133" s="54" t="s">
        <v>546</v>
      </c>
    </row>
    <row r="134" spans="1:9" ht="15.75" thickBot="1">
      <c r="A134" s="55" t="s">
        <v>297</v>
      </c>
      <c r="B134" s="56" t="s">
        <v>293</v>
      </c>
      <c r="C134" s="57" t="s">
        <v>547</v>
      </c>
      <c r="D134" s="57" t="s">
        <v>548</v>
      </c>
      <c r="E134" s="58"/>
      <c r="F134" s="55">
        <v>3340000</v>
      </c>
      <c r="G134" s="59">
        <v>317641006</v>
      </c>
      <c r="H134" s="57" t="s">
        <v>548</v>
      </c>
      <c r="I134" s="54" t="s">
        <v>546</v>
      </c>
    </row>
    <row r="135" spans="1:9" ht="15.75" thickBot="1">
      <c r="A135" s="55" t="s">
        <v>300</v>
      </c>
      <c r="B135" s="56" t="s">
        <v>293</v>
      </c>
      <c r="C135" s="57" t="s">
        <v>549</v>
      </c>
      <c r="D135" s="57" t="s">
        <v>550</v>
      </c>
      <c r="E135" s="58"/>
      <c r="F135" s="55">
        <v>240000</v>
      </c>
      <c r="G135" s="59">
        <v>317881006</v>
      </c>
      <c r="H135" s="57" t="s">
        <v>550</v>
      </c>
      <c r="I135" s="54" t="s">
        <v>546</v>
      </c>
    </row>
    <row r="136" spans="1:9" ht="15.75" thickBot="1">
      <c r="A136" s="55" t="s">
        <v>303</v>
      </c>
      <c r="B136" s="56" t="s">
        <v>293</v>
      </c>
      <c r="C136" s="57" t="s">
        <v>551</v>
      </c>
      <c r="D136" s="57" t="s">
        <v>552</v>
      </c>
      <c r="E136" s="58"/>
      <c r="F136" s="55">
        <v>1300000</v>
      </c>
      <c r="G136" s="59">
        <v>319181006</v>
      </c>
      <c r="H136" s="57" t="s">
        <v>552</v>
      </c>
      <c r="I136" s="54" t="s">
        <v>546</v>
      </c>
    </row>
    <row r="137" spans="1:9" ht="15.75" thickBot="1">
      <c r="A137" s="55" t="s">
        <v>306</v>
      </c>
      <c r="B137" s="56" t="s">
        <v>293</v>
      </c>
      <c r="C137" s="57" t="s">
        <v>553</v>
      </c>
      <c r="D137" s="57" t="s">
        <v>554</v>
      </c>
      <c r="E137" s="58"/>
      <c r="F137" s="55">
        <v>2200000</v>
      </c>
      <c r="G137" s="59">
        <v>321381006</v>
      </c>
      <c r="H137" s="57" t="s">
        <v>554</v>
      </c>
      <c r="I137" s="54" t="s">
        <v>546</v>
      </c>
    </row>
    <row r="138" spans="1:9" ht="15.75" thickBot="1">
      <c r="A138" s="55" t="s">
        <v>309</v>
      </c>
      <c r="B138" s="56" t="s">
        <v>293</v>
      </c>
      <c r="C138" s="57" t="s">
        <v>555</v>
      </c>
      <c r="D138" s="57" t="s">
        <v>556</v>
      </c>
      <c r="E138" s="58"/>
      <c r="F138" s="55">
        <v>3150000</v>
      </c>
      <c r="G138" s="59">
        <v>324531006</v>
      </c>
      <c r="H138" s="57" t="s">
        <v>556</v>
      </c>
      <c r="I138" s="54" t="s">
        <v>546</v>
      </c>
    </row>
    <row r="139" spans="1:9" ht="15.75" thickBot="1">
      <c r="A139" s="55" t="s">
        <v>525</v>
      </c>
      <c r="B139" s="56" t="s">
        <v>293</v>
      </c>
      <c r="C139" s="57" t="s">
        <v>557</v>
      </c>
      <c r="D139" s="57" t="s">
        <v>558</v>
      </c>
      <c r="E139" s="58"/>
      <c r="F139" s="55">
        <v>4200000</v>
      </c>
      <c r="G139" s="59">
        <v>328731006</v>
      </c>
      <c r="H139" s="57" t="s">
        <v>558</v>
      </c>
      <c r="I139" s="54" t="s">
        <v>546</v>
      </c>
    </row>
    <row r="140" spans="1:9" ht="15.75" thickBot="1">
      <c r="A140" s="55" t="s">
        <v>526</v>
      </c>
      <c r="B140" s="56" t="s">
        <v>293</v>
      </c>
      <c r="C140" s="57" t="s">
        <v>559</v>
      </c>
      <c r="D140" s="57" t="s">
        <v>560</v>
      </c>
      <c r="E140" s="58"/>
      <c r="F140" s="55">
        <v>2450000</v>
      </c>
      <c r="G140" s="59">
        <v>331181006</v>
      </c>
      <c r="H140" s="57" t="s">
        <v>560</v>
      </c>
      <c r="I140" s="54" t="s">
        <v>546</v>
      </c>
    </row>
    <row r="141" spans="1:9" ht="15.75" thickBot="1">
      <c r="A141" s="55" t="s">
        <v>529</v>
      </c>
      <c r="B141" s="56" t="s">
        <v>293</v>
      </c>
      <c r="C141" s="57" t="s">
        <v>561</v>
      </c>
      <c r="D141" s="57" t="s">
        <v>562</v>
      </c>
      <c r="E141" s="58"/>
      <c r="F141" s="55">
        <v>2500000</v>
      </c>
      <c r="G141" s="59">
        <v>333681006</v>
      </c>
      <c r="H141" s="57" t="s">
        <v>562</v>
      </c>
      <c r="I141" s="54" t="s">
        <v>546</v>
      </c>
    </row>
    <row r="142" spans="1:9" ht="15.75" thickBot="1">
      <c r="A142" s="55" t="s">
        <v>532</v>
      </c>
      <c r="B142" s="56" t="s">
        <v>293</v>
      </c>
      <c r="C142" s="57" t="s">
        <v>563</v>
      </c>
      <c r="D142" s="57" t="s">
        <v>564</v>
      </c>
      <c r="E142" s="58"/>
      <c r="F142" s="55">
        <v>1480000</v>
      </c>
      <c r="G142" s="59">
        <v>335161006</v>
      </c>
      <c r="H142" s="57" t="s">
        <v>564</v>
      </c>
      <c r="I142" s="54" t="s">
        <v>546</v>
      </c>
    </row>
    <row r="143" spans="1:9" ht="15.75" thickBot="1">
      <c r="A143" s="55" t="s">
        <v>535</v>
      </c>
      <c r="B143" s="56" t="s">
        <v>293</v>
      </c>
      <c r="C143" s="57" t="s">
        <v>565</v>
      </c>
      <c r="D143" s="57" t="s">
        <v>566</v>
      </c>
      <c r="E143" s="58"/>
      <c r="F143" s="55">
        <v>1500000</v>
      </c>
      <c r="G143" s="59">
        <v>336661006</v>
      </c>
      <c r="H143" s="57" t="s">
        <v>566</v>
      </c>
      <c r="I143" s="54" t="s">
        <v>546</v>
      </c>
    </row>
    <row r="144" spans="1:9" ht="15.75" thickBot="1">
      <c r="A144" s="55" t="s">
        <v>538</v>
      </c>
      <c r="B144" s="56" t="s">
        <v>293</v>
      </c>
      <c r="C144" s="57" t="s">
        <v>567</v>
      </c>
      <c r="D144" s="57" t="s">
        <v>568</v>
      </c>
      <c r="E144" s="58"/>
      <c r="F144" s="55">
        <v>7000000</v>
      </c>
      <c r="G144" s="59">
        <v>343661006</v>
      </c>
      <c r="H144" s="57" t="s">
        <v>568</v>
      </c>
      <c r="I144" s="54" t="s">
        <v>546</v>
      </c>
    </row>
    <row r="145" spans="1:9" ht="15.75" thickBot="1">
      <c r="A145" s="55" t="s">
        <v>569</v>
      </c>
      <c r="B145" s="56" t="s">
        <v>293</v>
      </c>
      <c r="C145" s="57" t="s">
        <v>570</v>
      </c>
      <c r="D145" s="57" t="s">
        <v>571</v>
      </c>
      <c r="E145" s="58"/>
      <c r="F145" s="55">
        <v>5340000</v>
      </c>
      <c r="G145" s="59">
        <v>349001006</v>
      </c>
      <c r="H145" s="57" t="s">
        <v>571</v>
      </c>
      <c r="I145" s="54" t="s">
        <v>546</v>
      </c>
    </row>
    <row r="146" spans="1:9" ht="15.75" thickBot="1">
      <c r="A146" s="55" t="s">
        <v>572</v>
      </c>
      <c r="B146" s="56" t="s">
        <v>293</v>
      </c>
      <c r="C146" s="57" t="s">
        <v>573</v>
      </c>
      <c r="D146" s="57" t="s">
        <v>568</v>
      </c>
      <c r="E146" s="58"/>
      <c r="F146" s="55">
        <v>380000</v>
      </c>
      <c r="G146" s="59">
        <v>349381006</v>
      </c>
      <c r="H146" s="57" t="s">
        <v>568</v>
      </c>
      <c r="I146" s="54" t="s">
        <v>546</v>
      </c>
    </row>
    <row r="147" spans="1:9" ht="15.75" thickBot="1">
      <c r="A147" s="55" t="s">
        <v>574</v>
      </c>
      <c r="B147" s="56" t="s">
        <v>293</v>
      </c>
      <c r="C147" s="57" t="s">
        <v>575</v>
      </c>
      <c r="D147" s="57" t="s">
        <v>576</v>
      </c>
      <c r="E147" s="58"/>
      <c r="F147" s="55">
        <v>5340000</v>
      </c>
      <c r="G147" s="59">
        <v>354721006</v>
      </c>
      <c r="H147" s="57" t="s">
        <v>576</v>
      </c>
      <c r="I147" s="54" t="s">
        <v>546</v>
      </c>
    </row>
    <row r="148" spans="1:9" ht="15.75" thickBot="1">
      <c r="A148" s="55" t="s">
        <v>577</v>
      </c>
      <c r="B148" s="56" t="s">
        <v>293</v>
      </c>
      <c r="C148" s="57" t="s">
        <v>578</v>
      </c>
      <c r="D148" s="57" t="s">
        <v>579</v>
      </c>
      <c r="E148" s="58"/>
      <c r="F148" s="55">
        <v>795000</v>
      </c>
      <c r="G148" s="59">
        <v>355516006</v>
      </c>
      <c r="H148" s="57" t="s">
        <v>579</v>
      </c>
      <c r="I148" s="54" t="s">
        <v>546</v>
      </c>
    </row>
    <row r="149" spans="1:9" ht="15.75" thickBot="1">
      <c r="A149" s="55" t="s">
        <v>580</v>
      </c>
      <c r="B149" s="56" t="s">
        <v>293</v>
      </c>
      <c r="C149" s="57" t="s">
        <v>581</v>
      </c>
      <c r="D149" s="57" t="s">
        <v>582</v>
      </c>
      <c r="E149" s="58"/>
      <c r="F149" s="55">
        <v>2670000</v>
      </c>
      <c r="G149" s="59">
        <v>358186006</v>
      </c>
      <c r="H149" s="57" t="s">
        <v>582</v>
      </c>
      <c r="I149" s="54" t="s">
        <v>546</v>
      </c>
    </row>
    <row r="150" spans="1:9" ht="15.75" thickBot="1">
      <c r="A150" s="55" t="s">
        <v>583</v>
      </c>
      <c r="B150" s="56" t="s">
        <v>293</v>
      </c>
      <c r="C150" s="57" t="s">
        <v>584</v>
      </c>
      <c r="D150" s="57" t="s">
        <v>585</v>
      </c>
      <c r="E150" s="58"/>
      <c r="F150" s="55">
        <v>360000</v>
      </c>
      <c r="G150" s="59">
        <v>358546006</v>
      </c>
      <c r="H150" s="57" t="s">
        <v>585</v>
      </c>
      <c r="I150" s="54" t="s">
        <v>546</v>
      </c>
    </row>
    <row r="151" spans="1:9" ht="15.75" thickBot="1">
      <c r="A151" s="55" t="s">
        <v>586</v>
      </c>
      <c r="B151" s="56" t="s">
        <v>293</v>
      </c>
      <c r="C151" s="57" t="s">
        <v>587</v>
      </c>
      <c r="D151" s="57" t="s">
        <v>588</v>
      </c>
      <c r="E151" s="58"/>
      <c r="F151" s="55">
        <v>2000000</v>
      </c>
      <c r="G151" s="59">
        <v>360546006</v>
      </c>
      <c r="H151" s="57" t="s">
        <v>588</v>
      </c>
      <c r="I151" s="54" t="s">
        <v>546</v>
      </c>
    </row>
    <row r="152" spans="1:9" ht="15.75" thickBot="1">
      <c r="A152" s="55" t="s">
        <v>589</v>
      </c>
      <c r="B152" s="56" t="s">
        <v>293</v>
      </c>
      <c r="C152" s="57" t="s">
        <v>590</v>
      </c>
      <c r="D152" s="57" t="s">
        <v>591</v>
      </c>
      <c r="E152" s="58"/>
      <c r="F152" s="55">
        <v>500000</v>
      </c>
      <c r="G152" s="59">
        <v>361046006</v>
      </c>
      <c r="H152" s="57" t="s">
        <v>591</v>
      </c>
      <c r="I152" s="54" t="s">
        <v>546</v>
      </c>
    </row>
    <row r="153" spans="1:9" ht="15.75" thickBot="1">
      <c r="A153" s="55" t="s">
        <v>592</v>
      </c>
      <c r="B153" s="56" t="s">
        <v>293</v>
      </c>
      <c r="C153" s="57" t="s">
        <v>593</v>
      </c>
      <c r="D153" s="57" t="s">
        <v>594</v>
      </c>
      <c r="E153" s="58"/>
      <c r="F153" s="55">
        <v>3520000</v>
      </c>
      <c r="G153" s="59">
        <v>364566006</v>
      </c>
      <c r="H153" s="57" t="s">
        <v>594</v>
      </c>
      <c r="I153" s="54" t="s">
        <v>546</v>
      </c>
    </row>
    <row r="154" spans="1:9" ht="15.75" thickBot="1">
      <c r="A154" s="55" t="s">
        <v>595</v>
      </c>
      <c r="B154" s="56" t="s">
        <v>293</v>
      </c>
      <c r="C154" s="57" t="s">
        <v>596</v>
      </c>
      <c r="D154" s="57" t="s">
        <v>597</v>
      </c>
      <c r="E154" s="58"/>
      <c r="F154" s="55">
        <v>2500000</v>
      </c>
      <c r="G154" s="59">
        <v>367066006</v>
      </c>
      <c r="H154" s="57" t="s">
        <v>597</v>
      </c>
      <c r="I154" s="54" t="s">
        <v>546</v>
      </c>
    </row>
    <row r="155" spans="1:9" ht="15.75" thickBot="1">
      <c r="A155" s="55" t="s">
        <v>497</v>
      </c>
      <c r="B155" s="56" t="s">
        <v>293</v>
      </c>
      <c r="C155" s="57" t="s">
        <v>598</v>
      </c>
      <c r="D155" s="57" t="s">
        <v>599</v>
      </c>
      <c r="E155" s="58"/>
      <c r="F155" s="55">
        <v>500000</v>
      </c>
      <c r="G155" s="59">
        <v>367566006</v>
      </c>
      <c r="H155" s="57" t="s">
        <v>599</v>
      </c>
      <c r="I155" s="54" t="s">
        <v>546</v>
      </c>
    </row>
    <row r="156" spans="1:9" ht="15.75" thickBot="1">
      <c r="A156" s="55" t="s">
        <v>600</v>
      </c>
      <c r="B156" s="56" t="s">
        <v>293</v>
      </c>
      <c r="C156" s="57" t="s">
        <v>601</v>
      </c>
      <c r="D156" s="57" t="s">
        <v>602</v>
      </c>
      <c r="E156" s="58"/>
      <c r="F156" s="55">
        <v>1500000</v>
      </c>
      <c r="G156" s="59">
        <v>369066006</v>
      </c>
      <c r="H156" s="57" t="s">
        <v>602</v>
      </c>
      <c r="I156" s="54" t="s">
        <v>546</v>
      </c>
    </row>
    <row r="157" spans="1:9" ht="15.75" thickBot="1">
      <c r="A157" s="55" t="s">
        <v>603</v>
      </c>
      <c r="B157" s="56" t="s">
        <v>293</v>
      </c>
      <c r="C157" s="57" t="s">
        <v>604</v>
      </c>
      <c r="D157" s="57" t="s">
        <v>605</v>
      </c>
      <c r="E157" s="58"/>
      <c r="F157" s="55">
        <v>3500000</v>
      </c>
      <c r="G157" s="59">
        <v>372566006</v>
      </c>
      <c r="H157" s="57" t="s">
        <v>605</v>
      </c>
      <c r="I157" s="54" t="s">
        <v>546</v>
      </c>
    </row>
    <row r="158" spans="1:9" ht="15.75" thickBot="1">
      <c r="A158" s="55" t="s">
        <v>606</v>
      </c>
      <c r="B158" s="56" t="s">
        <v>293</v>
      </c>
      <c r="C158" s="57" t="s">
        <v>607</v>
      </c>
      <c r="D158" s="57" t="s">
        <v>608</v>
      </c>
      <c r="E158" s="58"/>
      <c r="F158" s="55">
        <v>2000000</v>
      </c>
      <c r="G158" s="59">
        <v>374566006</v>
      </c>
      <c r="H158" s="57" t="s">
        <v>608</v>
      </c>
      <c r="I158" s="54" t="s">
        <v>546</v>
      </c>
    </row>
    <row r="159" spans="1:9" ht="15.75" thickBot="1">
      <c r="A159" s="55" t="s">
        <v>609</v>
      </c>
      <c r="B159" s="56" t="s">
        <v>293</v>
      </c>
      <c r="C159" s="57" t="s">
        <v>610</v>
      </c>
      <c r="D159" s="57" t="s">
        <v>611</v>
      </c>
      <c r="E159" s="58"/>
      <c r="F159" s="55">
        <v>700000</v>
      </c>
      <c r="G159" s="59">
        <v>375266006</v>
      </c>
      <c r="H159" s="57" t="s">
        <v>611</v>
      </c>
      <c r="I159" s="54" t="s">
        <v>546</v>
      </c>
    </row>
    <row r="160" spans="1:9" ht="15.75" thickBot="1">
      <c r="A160" s="55" t="s">
        <v>612</v>
      </c>
      <c r="B160" s="56" t="s">
        <v>293</v>
      </c>
      <c r="C160" s="57" t="s">
        <v>613</v>
      </c>
      <c r="D160" s="57" t="s">
        <v>614</v>
      </c>
      <c r="E160" s="58"/>
      <c r="F160" s="55">
        <v>3340000</v>
      </c>
      <c r="G160" s="59">
        <v>378606006</v>
      </c>
      <c r="H160" s="57" t="s">
        <v>614</v>
      </c>
      <c r="I160" s="54" t="s">
        <v>546</v>
      </c>
    </row>
    <row r="161" spans="1:9" ht="15.75" thickBot="1">
      <c r="A161" s="55" t="s">
        <v>615</v>
      </c>
      <c r="B161" s="56" t="s">
        <v>293</v>
      </c>
      <c r="C161" s="57" t="s">
        <v>616</v>
      </c>
      <c r="D161" s="57" t="s">
        <v>617</v>
      </c>
      <c r="E161" s="58"/>
      <c r="F161" s="55">
        <v>5840000</v>
      </c>
      <c r="G161" s="59">
        <v>384446006</v>
      </c>
      <c r="H161" s="57" t="s">
        <v>617</v>
      </c>
      <c r="I161" s="54" t="s">
        <v>546</v>
      </c>
    </row>
    <row r="162" spans="1:9" ht="15.75" thickBot="1">
      <c r="A162" s="55" t="s">
        <v>618</v>
      </c>
      <c r="B162" s="56" t="s">
        <v>293</v>
      </c>
      <c r="C162" s="57" t="s">
        <v>619</v>
      </c>
      <c r="D162" s="57" t="s">
        <v>620</v>
      </c>
      <c r="E162" s="58"/>
      <c r="F162" s="55">
        <v>5000000</v>
      </c>
      <c r="G162" s="59">
        <v>389446006</v>
      </c>
      <c r="H162" s="57" t="s">
        <v>620</v>
      </c>
      <c r="I162" s="54" t="s">
        <v>546</v>
      </c>
    </row>
    <row r="163" spans="1:9" ht="15.75" thickBot="1">
      <c r="A163" s="55" t="s">
        <v>621</v>
      </c>
      <c r="B163" s="56" t="s">
        <v>293</v>
      </c>
      <c r="C163" s="57" t="s">
        <v>622</v>
      </c>
      <c r="D163" s="57" t="s">
        <v>623</v>
      </c>
      <c r="E163" s="58"/>
      <c r="F163" s="55">
        <v>1000000</v>
      </c>
      <c r="G163" s="59">
        <v>390446006</v>
      </c>
      <c r="H163" s="57" t="s">
        <v>623</v>
      </c>
      <c r="I163" s="54" t="s">
        <v>546</v>
      </c>
    </row>
    <row r="164" spans="1:9" ht="15.75" thickBot="1">
      <c r="A164" s="55" t="s">
        <v>624</v>
      </c>
      <c r="B164" s="56" t="s">
        <v>293</v>
      </c>
      <c r="C164" s="57" t="s">
        <v>625</v>
      </c>
      <c r="D164" s="57" t="s">
        <v>626</v>
      </c>
      <c r="E164" s="58"/>
      <c r="F164" s="55">
        <v>2670000</v>
      </c>
      <c r="G164" s="59">
        <v>393116006</v>
      </c>
      <c r="H164" s="57" t="s">
        <v>626</v>
      </c>
      <c r="I164" s="54" t="s">
        <v>546</v>
      </c>
    </row>
    <row r="165" spans="1:9" ht="15.75" thickBot="1">
      <c r="A165" s="55" t="s">
        <v>627</v>
      </c>
      <c r="B165" s="56" t="s">
        <v>293</v>
      </c>
      <c r="C165" s="57" t="s">
        <v>628</v>
      </c>
      <c r="D165" s="57" t="s">
        <v>629</v>
      </c>
      <c r="E165" s="58"/>
      <c r="F165" s="55">
        <v>2040000</v>
      </c>
      <c r="G165" s="59">
        <v>395156006</v>
      </c>
      <c r="H165" s="57" t="s">
        <v>629</v>
      </c>
      <c r="I165" s="54" t="s">
        <v>546</v>
      </c>
    </row>
    <row r="166" spans="1:9" ht="15.75" thickBot="1">
      <c r="A166" s="55" t="s">
        <v>630</v>
      </c>
      <c r="B166" s="56" t="s">
        <v>293</v>
      </c>
      <c r="C166" s="57" t="s">
        <v>631</v>
      </c>
      <c r="D166" s="57" t="s">
        <v>632</v>
      </c>
      <c r="E166" s="58"/>
      <c r="F166" s="55">
        <v>2040000</v>
      </c>
      <c r="G166" s="59">
        <v>397196006</v>
      </c>
      <c r="H166" s="57" t="s">
        <v>632</v>
      </c>
      <c r="I166" s="54" t="s">
        <v>546</v>
      </c>
    </row>
    <row r="167" spans="1:9" ht="15.75" thickBot="1">
      <c r="A167" s="55" t="s">
        <v>633</v>
      </c>
      <c r="B167" s="56" t="s">
        <v>293</v>
      </c>
      <c r="C167" s="57" t="s">
        <v>634</v>
      </c>
      <c r="D167" s="57" t="s">
        <v>635</v>
      </c>
      <c r="E167" s="58"/>
      <c r="F167" s="55">
        <v>3100000</v>
      </c>
      <c r="G167" s="59">
        <v>400296006</v>
      </c>
      <c r="H167" s="57" t="s">
        <v>635</v>
      </c>
      <c r="I167" s="54" t="s">
        <v>546</v>
      </c>
    </row>
    <row r="168" spans="1:9" ht="15.75" thickBot="1">
      <c r="A168" s="55" t="s">
        <v>636</v>
      </c>
      <c r="B168" s="56" t="s">
        <v>293</v>
      </c>
      <c r="C168" s="57" t="s">
        <v>637</v>
      </c>
      <c r="D168" s="57" t="s">
        <v>638</v>
      </c>
      <c r="E168" s="58"/>
      <c r="F168" s="55">
        <v>795000</v>
      </c>
      <c r="G168" s="59">
        <v>401091006</v>
      </c>
      <c r="H168" s="57" t="s">
        <v>638</v>
      </c>
      <c r="I168" s="54" t="s">
        <v>546</v>
      </c>
    </row>
    <row r="169" spans="1:9" ht="15.75" thickBot="1">
      <c r="A169" s="55" t="s">
        <v>639</v>
      </c>
      <c r="B169" s="56" t="s">
        <v>293</v>
      </c>
      <c r="C169" s="57" t="s">
        <v>640</v>
      </c>
      <c r="D169" s="57" t="s">
        <v>641</v>
      </c>
      <c r="E169" s="58"/>
      <c r="F169" s="55">
        <v>1500000</v>
      </c>
      <c r="G169" s="59">
        <v>402591006</v>
      </c>
      <c r="H169" s="57" t="s">
        <v>641</v>
      </c>
      <c r="I169" s="54" t="s">
        <v>546</v>
      </c>
    </row>
    <row r="170" spans="1:9" ht="15.75" thickBot="1">
      <c r="A170" s="55" t="s">
        <v>642</v>
      </c>
      <c r="B170" s="56" t="s">
        <v>293</v>
      </c>
      <c r="C170" s="57" t="s">
        <v>643</v>
      </c>
      <c r="D170" s="57" t="s">
        <v>644</v>
      </c>
      <c r="E170" s="58"/>
      <c r="F170" s="55">
        <v>12900000</v>
      </c>
      <c r="G170" s="59">
        <v>415491006</v>
      </c>
      <c r="H170" s="57" t="s">
        <v>644</v>
      </c>
      <c r="I170" s="54" t="s">
        <v>546</v>
      </c>
    </row>
    <row r="171" spans="1:9" ht="15.75" thickBot="1">
      <c r="A171" s="55" t="s">
        <v>645</v>
      </c>
      <c r="B171" s="56" t="s">
        <v>293</v>
      </c>
      <c r="C171" s="57" t="s">
        <v>646</v>
      </c>
      <c r="D171" s="57" t="s">
        <v>647</v>
      </c>
      <c r="E171" s="58"/>
      <c r="F171" s="55">
        <v>4450000</v>
      </c>
      <c r="G171" s="59">
        <v>419941006</v>
      </c>
      <c r="H171" s="57" t="s">
        <v>647</v>
      </c>
      <c r="I171" s="54" t="s">
        <v>546</v>
      </c>
    </row>
    <row r="172" spans="1:9" ht="15.75" thickBot="1">
      <c r="A172" s="55" t="s">
        <v>648</v>
      </c>
      <c r="B172" s="56" t="s">
        <v>293</v>
      </c>
      <c r="C172" s="57" t="s">
        <v>649</v>
      </c>
      <c r="D172" s="57" t="s">
        <v>650</v>
      </c>
      <c r="E172" s="58"/>
      <c r="F172" s="55">
        <v>2040000</v>
      </c>
      <c r="G172" s="59">
        <v>421981006</v>
      </c>
      <c r="H172" s="57" t="s">
        <v>650</v>
      </c>
      <c r="I172" s="54" t="s">
        <v>546</v>
      </c>
    </row>
    <row r="173" spans="1:9" ht="15.75" thickBot="1">
      <c r="A173" s="55" t="s">
        <v>651</v>
      </c>
      <c r="B173" s="56" t="s">
        <v>293</v>
      </c>
      <c r="C173" s="57" t="s">
        <v>652</v>
      </c>
      <c r="D173" s="57" t="s">
        <v>653</v>
      </c>
      <c r="E173" s="58"/>
      <c r="F173" s="55">
        <v>1000000</v>
      </c>
      <c r="G173" s="59">
        <v>422981006</v>
      </c>
      <c r="H173" s="57" t="s">
        <v>653</v>
      </c>
      <c r="I173" s="54" t="s">
        <v>546</v>
      </c>
    </row>
    <row r="174" spans="1:9" ht="15.75" thickBot="1">
      <c r="A174" s="55" t="s">
        <v>654</v>
      </c>
      <c r="B174" s="56" t="s">
        <v>293</v>
      </c>
      <c r="C174" s="57" t="s">
        <v>655</v>
      </c>
      <c r="D174" s="57" t="s">
        <v>656</v>
      </c>
      <c r="E174" s="58"/>
      <c r="F174" s="55">
        <v>3340000</v>
      </c>
      <c r="G174" s="59">
        <v>426321006</v>
      </c>
      <c r="H174" s="57" t="s">
        <v>656</v>
      </c>
      <c r="I174" s="54" t="s">
        <v>546</v>
      </c>
    </row>
    <row r="175" spans="1:9" ht="15.75" thickBot="1">
      <c r="A175" s="55" t="s">
        <v>657</v>
      </c>
      <c r="B175" s="56" t="s">
        <v>293</v>
      </c>
      <c r="C175" s="57" t="s">
        <v>658</v>
      </c>
      <c r="D175" s="57" t="s">
        <v>659</v>
      </c>
      <c r="E175" s="58"/>
      <c r="F175" s="55">
        <v>3560000</v>
      </c>
      <c r="G175" s="59">
        <v>429881006</v>
      </c>
      <c r="H175" s="57" t="s">
        <v>659</v>
      </c>
      <c r="I175" s="54" t="s">
        <v>546</v>
      </c>
    </row>
    <row r="176" spans="1:9" ht="15.75" thickBot="1">
      <c r="A176" s="55" t="s">
        <v>660</v>
      </c>
      <c r="B176" s="56" t="s">
        <v>293</v>
      </c>
      <c r="C176" s="57" t="s">
        <v>661</v>
      </c>
      <c r="D176" s="57" t="s">
        <v>662</v>
      </c>
      <c r="E176" s="58"/>
      <c r="F176" s="55">
        <v>1780000</v>
      </c>
      <c r="G176" s="59">
        <v>431661006</v>
      </c>
      <c r="H176" s="57" t="s">
        <v>662</v>
      </c>
      <c r="I176" s="54" t="s">
        <v>546</v>
      </c>
    </row>
    <row r="177" spans="1:9" ht="15.75" thickBot="1">
      <c r="A177" s="55" t="s">
        <v>663</v>
      </c>
      <c r="B177" s="56" t="s">
        <v>293</v>
      </c>
      <c r="C177" s="57" t="s">
        <v>664</v>
      </c>
      <c r="D177" s="57" t="s">
        <v>665</v>
      </c>
      <c r="E177" s="58"/>
      <c r="F177" s="55">
        <v>500000</v>
      </c>
      <c r="G177" s="59">
        <v>432161006</v>
      </c>
      <c r="H177" s="57" t="s">
        <v>665</v>
      </c>
      <c r="I177" s="54" t="s">
        <v>546</v>
      </c>
    </row>
    <row r="178" spans="1:9" ht="15.75" thickBot="1">
      <c r="A178" s="55" t="s">
        <v>666</v>
      </c>
      <c r="B178" s="56" t="s">
        <v>293</v>
      </c>
      <c r="C178" s="57" t="s">
        <v>667</v>
      </c>
      <c r="D178" s="57" t="s">
        <v>668</v>
      </c>
      <c r="E178" s="58"/>
      <c r="F178" s="55">
        <v>800000</v>
      </c>
      <c r="G178" s="59">
        <v>432961006</v>
      </c>
      <c r="H178" s="57" t="s">
        <v>668</v>
      </c>
      <c r="I178" s="54" t="s">
        <v>546</v>
      </c>
    </row>
    <row r="179" spans="1:9" ht="15.75" thickBot="1">
      <c r="A179" s="55" t="s">
        <v>669</v>
      </c>
      <c r="B179" s="56" t="s">
        <v>293</v>
      </c>
      <c r="C179" s="57" t="s">
        <v>670</v>
      </c>
      <c r="D179" s="57" t="s">
        <v>671</v>
      </c>
      <c r="E179" s="58"/>
      <c r="F179" s="55">
        <v>1000000</v>
      </c>
      <c r="G179" s="59">
        <v>433961006</v>
      </c>
      <c r="H179" s="57" t="s">
        <v>671</v>
      </c>
      <c r="I179" s="54" t="s">
        <v>546</v>
      </c>
    </row>
    <row r="180" spans="1:9" ht="15.75" thickBot="1">
      <c r="A180" s="55" t="s">
        <v>672</v>
      </c>
      <c r="B180" s="56" t="s">
        <v>293</v>
      </c>
      <c r="C180" s="57" t="s">
        <v>673</v>
      </c>
      <c r="D180" s="57" t="s">
        <v>674</v>
      </c>
      <c r="E180" s="58"/>
      <c r="F180" s="55">
        <v>3560000</v>
      </c>
      <c r="G180" s="59">
        <v>437521006</v>
      </c>
      <c r="H180" s="57" t="s">
        <v>674</v>
      </c>
      <c r="I180" s="54" t="s">
        <v>546</v>
      </c>
    </row>
    <row r="181" spans="1:9" ht="15.75" thickBot="1">
      <c r="A181" s="55" t="s">
        <v>675</v>
      </c>
      <c r="B181" s="56" t="s">
        <v>293</v>
      </c>
      <c r="C181" s="57" t="s">
        <v>676</v>
      </c>
      <c r="D181" s="57" t="s">
        <v>677</v>
      </c>
      <c r="E181" s="58"/>
      <c r="F181" s="55">
        <v>3560000</v>
      </c>
      <c r="G181" s="59">
        <v>441081006</v>
      </c>
      <c r="H181" s="57" t="s">
        <v>677</v>
      </c>
      <c r="I181" s="54" t="s">
        <v>546</v>
      </c>
    </row>
    <row r="182" spans="1:9" ht="15.75" thickBot="1">
      <c r="A182" s="55" t="s">
        <v>678</v>
      </c>
      <c r="B182" s="56" t="s">
        <v>293</v>
      </c>
      <c r="C182" s="57" t="s">
        <v>679</v>
      </c>
      <c r="D182" s="57" t="s">
        <v>680</v>
      </c>
      <c r="E182" s="58"/>
      <c r="F182" s="55">
        <v>2000000</v>
      </c>
      <c r="G182" s="59">
        <v>443081006</v>
      </c>
      <c r="H182" s="57" t="s">
        <v>680</v>
      </c>
      <c r="I182" s="54" t="s">
        <v>546</v>
      </c>
    </row>
    <row r="183" spans="1:9" ht="15.75" thickBot="1">
      <c r="A183" s="55" t="s">
        <v>681</v>
      </c>
      <c r="B183" s="56" t="s">
        <v>293</v>
      </c>
      <c r="C183" s="57" t="s">
        <v>682</v>
      </c>
      <c r="D183" s="57" t="s">
        <v>683</v>
      </c>
      <c r="E183" s="58"/>
      <c r="F183" s="55">
        <v>5180000</v>
      </c>
      <c r="G183" s="59">
        <v>448261006</v>
      </c>
      <c r="H183" s="57" t="s">
        <v>683</v>
      </c>
      <c r="I183" s="54" t="s">
        <v>546</v>
      </c>
    </row>
    <row r="184" spans="1:9" ht="15.75" thickBot="1">
      <c r="A184" s="55" t="s">
        <v>684</v>
      </c>
      <c r="B184" s="56" t="s">
        <v>293</v>
      </c>
      <c r="C184" s="57" t="s">
        <v>685</v>
      </c>
      <c r="D184" s="57" t="s">
        <v>686</v>
      </c>
      <c r="E184" s="58"/>
      <c r="F184" s="55">
        <v>3590000</v>
      </c>
      <c r="G184" s="59">
        <v>451851006</v>
      </c>
      <c r="H184" s="57" t="s">
        <v>686</v>
      </c>
      <c r="I184" s="54" t="s">
        <v>546</v>
      </c>
    </row>
    <row r="185" spans="1:9" ht="15.75" thickBot="1">
      <c r="A185" s="55" t="s">
        <v>687</v>
      </c>
      <c r="B185" s="56" t="s">
        <v>293</v>
      </c>
      <c r="C185" s="57" t="s">
        <v>688</v>
      </c>
      <c r="D185" s="57" t="s">
        <v>689</v>
      </c>
      <c r="E185" s="58"/>
      <c r="F185" s="55">
        <v>3560000</v>
      </c>
      <c r="G185" s="59">
        <v>455411006</v>
      </c>
      <c r="H185" s="57" t="s">
        <v>689</v>
      </c>
      <c r="I185" s="54" t="s">
        <v>546</v>
      </c>
    </row>
    <row r="186" spans="1:9" ht="15.75" thickBot="1">
      <c r="A186" s="55" t="s">
        <v>690</v>
      </c>
      <c r="B186" s="56" t="s">
        <v>293</v>
      </c>
      <c r="C186" s="57" t="s">
        <v>691</v>
      </c>
      <c r="D186" s="57" t="s">
        <v>692</v>
      </c>
      <c r="E186" s="58"/>
      <c r="F186" s="55">
        <v>3040000</v>
      </c>
      <c r="G186" s="59">
        <v>458451006</v>
      </c>
      <c r="H186" s="57" t="s">
        <v>692</v>
      </c>
      <c r="I186" s="54" t="s">
        <v>546</v>
      </c>
    </row>
    <row r="187" spans="1:9" ht="15.75" thickBot="1">
      <c r="A187" s="55" t="s">
        <v>693</v>
      </c>
      <c r="B187" s="56" t="s">
        <v>293</v>
      </c>
      <c r="C187" s="57" t="s">
        <v>694</v>
      </c>
      <c r="D187" s="57" t="s">
        <v>695</v>
      </c>
      <c r="E187" s="58"/>
      <c r="F187" s="55">
        <v>2000000</v>
      </c>
      <c r="G187" s="59">
        <v>460451006</v>
      </c>
      <c r="H187" s="57" t="s">
        <v>695</v>
      </c>
      <c r="I187" s="54" t="s">
        <v>546</v>
      </c>
    </row>
    <row r="188" spans="1:9" ht="15.75" thickBot="1">
      <c r="A188" s="55" t="s">
        <v>696</v>
      </c>
      <c r="B188" s="56" t="s">
        <v>293</v>
      </c>
      <c r="C188" s="57" t="s">
        <v>697</v>
      </c>
      <c r="D188" s="57" t="s">
        <v>698</v>
      </c>
      <c r="E188" s="58"/>
      <c r="F188" s="55">
        <v>1000000</v>
      </c>
      <c r="G188" s="59">
        <v>461451006</v>
      </c>
      <c r="H188" s="57" t="s">
        <v>698</v>
      </c>
      <c r="I188" s="54" t="s">
        <v>546</v>
      </c>
    </row>
    <row r="189" spans="1:9" ht="15.75" thickBot="1">
      <c r="A189" s="55" t="s">
        <v>699</v>
      </c>
      <c r="B189" s="56" t="s">
        <v>293</v>
      </c>
      <c r="C189" s="57" t="s">
        <v>700</v>
      </c>
      <c r="D189" s="57" t="s">
        <v>701</v>
      </c>
      <c r="E189" s="58"/>
      <c r="F189" s="55">
        <v>5180000</v>
      </c>
      <c r="G189" s="59">
        <v>466631006</v>
      </c>
      <c r="H189" s="57" t="s">
        <v>701</v>
      </c>
      <c r="I189" s="54" t="s">
        <v>546</v>
      </c>
    </row>
    <row r="190" spans="1:9" ht="15.75" thickBot="1">
      <c r="A190" s="55" t="s">
        <v>702</v>
      </c>
      <c r="B190" s="56" t="s">
        <v>293</v>
      </c>
      <c r="C190" s="57" t="s">
        <v>703</v>
      </c>
      <c r="D190" s="57" t="s">
        <v>704</v>
      </c>
      <c r="E190" s="58"/>
      <c r="F190" s="55">
        <v>1780000</v>
      </c>
      <c r="G190" s="59">
        <v>468411006</v>
      </c>
      <c r="H190" s="57" t="s">
        <v>704</v>
      </c>
      <c r="I190" s="54" t="s">
        <v>546</v>
      </c>
    </row>
    <row r="191" spans="1:9" ht="15.75" thickBot="1">
      <c r="A191" s="55" t="s">
        <v>705</v>
      </c>
      <c r="B191" s="56" t="s">
        <v>293</v>
      </c>
      <c r="C191" s="57" t="s">
        <v>706</v>
      </c>
      <c r="D191" s="57" t="s">
        <v>707</v>
      </c>
      <c r="E191" s="58"/>
      <c r="F191" s="55">
        <v>1780000</v>
      </c>
      <c r="G191" s="59">
        <v>470191006</v>
      </c>
      <c r="H191" s="57" t="s">
        <v>707</v>
      </c>
      <c r="I191" s="54" t="s">
        <v>546</v>
      </c>
    </row>
    <row r="192" spans="1:9" ht="15.75" thickBot="1">
      <c r="A192" s="55" t="s">
        <v>708</v>
      </c>
      <c r="B192" s="56" t="s">
        <v>293</v>
      </c>
      <c r="C192" s="57" t="s">
        <v>709</v>
      </c>
      <c r="D192" s="57" t="s">
        <v>710</v>
      </c>
      <c r="E192" s="58"/>
      <c r="F192" s="55">
        <v>11250000</v>
      </c>
      <c r="G192" s="59">
        <v>481441006</v>
      </c>
      <c r="H192" s="57" t="s">
        <v>710</v>
      </c>
      <c r="I192" s="54" t="s">
        <v>546</v>
      </c>
    </row>
    <row r="193" spans="1:9" ht="15.75" thickBot="1">
      <c r="A193" s="55" t="s">
        <v>711</v>
      </c>
      <c r="B193" s="56" t="s">
        <v>293</v>
      </c>
      <c r="C193" s="57" t="s">
        <v>712</v>
      </c>
      <c r="D193" s="57" t="s">
        <v>713</v>
      </c>
      <c r="E193" s="58"/>
      <c r="F193" s="55">
        <v>5000000</v>
      </c>
      <c r="G193" s="59">
        <v>486441006</v>
      </c>
      <c r="H193" s="57" t="s">
        <v>713</v>
      </c>
      <c r="I193" s="54" t="s">
        <v>546</v>
      </c>
    </row>
    <row r="194" spans="1:9" ht="15.75" thickBot="1">
      <c r="A194" s="55" t="s">
        <v>714</v>
      </c>
      <c r="B194" s="56" t="s">
        <v>293</v>
      </c>
      <c r="C194" s="57" t="s">
        <v>715</v>
      </c>
      <c r="D194" s="57" t="s">
        <v>716</v>
      </c>
      <c r="E194" s="58"/>
      <c r="F194" s="55">
        <v>5570000</v>
      </c>
      <c r="G194" s="59">
        <v>492011006</v>
      </c>
      <c r="H194" s="57" t="s">
        <v>716</v>
      </c>
      <c r="I194" s="54" t="s">
        <v>546</v>
      </c>
    </row>
    <row r="195" spans="1:9" ht="15.75" thickBot="1">
      <c r="A195" s="55" t="s">
        <v>717</v>
      </c>
      <c r="B195" s="56" t="s">
        <v>293</v>
      </c>
      <c r="C195" s="57" t="s">
        <v>718</v>
      </c>
      <c r="D195" s="57" t="s">
        <v>719</v>
      </c>
      <c r="E195" s="58"/>
      <c r="F195" s="55">
        <v>5000000</v>
      </c>
      <c r="G195" s="59">
        <v>497011006</v>
      </c>
      <c r="H195" s="57" t="s">
        <v>719</v>
      </c>
      <c r="I195" s="54" t="s">
        <v>546</v>
      </c>
    </row>
    <row r="196" spans="1:9" ht="15.75" thickBot="1">
      <c r="A196" s="55" t="s">
        <v>720</v>
      </c>
      <c r="B196" s="56" t="s">
        <v>293</v>
      </c>
      <c r="C196" s="57" t="s">
        <v>721</v>
      </c>
      <c r="D196" s="57" t="s">
        <v>722</v>
      </c>
      <c r="E196" s="58"/>
      <c r="F196" s="55">
        <v>1860000</v>
      </c>
      <c r="G196" s="59">
        <v>498871006</v>
      </c>
      <c r="H196" s="57" t="s">
        <v>722</v>
      </c>
      <c r="I196" s="54" t="s">
        <v>546</v>
      </c>
    </row>
    <row r="197" spans="1:9" ht="15.75" thickBot="1">
      <c r="A197" s="55" t="s">
        <v>723</v>
      </c>
      <c r="B197" s="56" t="s">
        <v>293</v>
      </c>
      <c r="C197" s="57" t="s">
        <v>724</v>
      </c>
      <c r="D197" s="57" t="s">
        <v>725</v>
      </c>
      <c r="E197" s="58"/>
      <c r="F197" s="55">
        <v>2670000</v>
      </c>
      <c r="G197" s="59">
        <v>501541006</v>
      </c>
      <c r="H197" s="57" t="s">
        <v>725</v>
      </c>
      <c r="I197" s="54" t="s">
        <v>546</v>
      </c>
    </row>
    <row r="198" spans="1:9" ht="15.75" thickBot="1">
      <c r="A198" s="55" t="s">
        <v>726</v>
      </c>
      <c r="B198" s="56" t="s">
        <v>293</v>
      </c>
      <c r="C198" s="57" t="s">
        <v>727</v>
      </c>
      <c r="D198" s="57" t="s">
        <v>728</v>
      </c>
      <c r="E198" s="58"/>
      <c r="F198" s="55">
        <v>680000</v>
      </c>
      <c r="G198" s="59">
        <v>502221006</v>
      </c>
      <c r="H198" s="57" t="s">
        <v>728</v>
      </c>
      <c r="I198" s="54" t="s">
        <v>546</v>
      </c>
    </row>
    <row r="199" spans="1:9" ht="15.75" thickBot="1">
      <c r="A199" s="55" t="s">
        <v>729</v>
      </c>
      <c r="B199" s="56" t="s">
        <v>293</v>
      </c>
      <c r="C199" s="57" t="s">
        <v>730</v>
      </c>
      <c r="D199" s="57" t="s">
        <v>731</v>
      </c>
      <c r="E199" s="58"/>
      <c r="F199" s="55">
        <v>3690000</v>
      </c>
      <c r="G199" s="59">
        <v>505911006</v>
      </c>
      <c r="H199" s="57" t="s">
        <v>731</v>
      </c>
      <c r="I199" s="54" t="s">
        <v>546</v>
      </c>
    </row>
    <row r="200" spans="1:9" ht="15.75" thickBot="1">
      <c r="A200" s="55" t="s">
        <v>732</v>
      </c>
      <c r="B200" s="56" t="s">
        <v>293</v>
      </c>
      <c r="C200" s="57" t="s">
        <v>733</v>
      </c>
      <c r="D200" s="57" t="s">
        <v>734</v>
      </c>
      <c r="E200" s="58"/>
      <c r="F200" s="55">
        <v>3560000</v>
      </c>
      <c r="G200" s="59">
        <v>509471006</v>
      </c>
      <c r="H200" s="57" t="s">
        <v>734</v>
      </c>
      <c r="I200" s="54" t="s">
        <v>546</v>
      </c>
    </row>
    <row r="201" spans="1:9" ht="15.75" thickBot="1">
      <c r="A201" s="55" t="s">
        <v>735</v>
      </c>
      <c r="B201" s="56" t="s">
        <v>293</v>
      </c>
      <c r="C201" s="57" t="s">
        <v>736</v>
      </c>
      <c r="D201" s="57" t="s">
        <v>737</v>
      </c>
      <c r="E201" s="58"/>
      <c r="F201" s="55">
        <v>2300000</v>
      </c>
      <c r="G201" s="59">
        <v>511771006</v>
      </c>
      <c r="H201" s="57" t="s">
        <v>737</v>
      </c>
      <c r="I201" s="54" t="s">
        <v>546</v>
      </c>
    </row>
    <row r="202" spans="1:9" ht="15.75" thickBot="1">
      <c r="A202" s="55" t="s">
        <v>738</v>
      </c>
      <c r="B202" s="56" t="s">
        <v>293</v>
      </c>
      <c r="C202" s="57" t="s">
        <v>739</v>
      </c>
      <c r="D202" s="57" t="s">
        <v>740</v>
      </c>
      <c r="E202" s="58"/>
      <c r="F202" s="55">
        <v>3340000</v>
      </c>
      <c r="G202" s="59">
        <v>515111006</v>
      </c>
      <c r="H202" s="57" t="s">
        <v>740</v>
      </c>
      <c r="I202" s="54" t="s">
        <v>546</v>
      </c>
    </row>
    <row r="203" spans="1:9" ht="15.75" thickBot="1">
      <c r="A203" s="55" t="s">
        <v>741</v>
      </c>
      <c r="B203" s="56" t="s">
        <v>293</v>
      </c>
      <c r="C203" s="57" t="s">
        <v>742</v>
      </c>
      <c r="D203" s="57" t="s">
        <v>743</v>
      </c>
      <c r="E203" s="58"/>
      <c r="F203" s="55">
        <v>5290000</v>
      </c>
      <c r="G203" s="59">
        <v>520401006</v>
      </c>
      <c r="H203" s="57" t="s">
        <v>743</v>
      </c>
      <c r="I203" s="54" t="s">
        <v>546</v>
      </c>
    </row>
    <row r="204" spans="1:9" ht="15.75" thickBot="1">
      <c r="A204" s="55" t="s">
        <v>744</v>
      </c>
      <c r="B204" s="56" t="s">
        <v>293</v>
      </c>
      <c r="C204" s="57" t="s">
        <v>745</v>
      </c>
      <c r="D204" s="57" t="s">
        <v>746</v>
      </c>
      <c r="E204" s="58"/>
      <c r="F204" s="55">
        <v>3560000</v>
      </c>
      <c r="G204" s="59">
        <v>523961006</v>
      </c>
      <c r="H204" s="57" t="s">
        <v>746</v>
      </c>
      <c r="I204" s="54" t="s">
        <v>546</v>
      </c>
    </row>
    <row r="205" spans="1:9" ht="15.75" thickBot="1">
      <c r="A205" s="55" t="s">
        <v>747</v>
      </c>
      <c r="B205" s="56" t="s">
        <v>293</v>
      </c>
      <c r="C205" s="57" t="s">
        <v>748</v>
      </c>
      <c r="D205" s="57" t="s">
        <v>749</v>
      </c>
      <c r="E205" s="58"/>
      <c r="F205" s="55">
        <v>5300000</v>
      </c>
      <c r="G205" s="59">
        <v>529261006</v>
      </c>
      <c r="H205" s="57" t="s">
        <v>749</v>
      </c>
      <c r="I205" s="54" t="s">
        <v>546</v>
      </c>
    </row>
    <row r="206" spans="1:9" ht="15.75" thickBot="1">
      <c r="A206" s="55" t="s">
        <v>750</v>
      </c>
      <c r="B206" s="56" t="s">
        <v>293</v>
      </c>
      <c r="C206" s="57" t="s">
        <v>751</v>
      </c>
      <c r="D206" s="57" t="s">
        <v>752</v>
      </c>
      <c r="E206" s="58"/>
      <c r="F206" s="55">
        <v>3560000</v>
      </c>
      <c r="G206" s="59">
        <v>532821006</v>
      </c>
      <c r="H206" s="57" t="s">
        <v>752</v>
      </c>
      <c r="I206" s="54" t="s">
        <v>546</v>
      </c>
    </row>
    <row r="207" spans="1:9" ht="15.75" thickBot="1">
      <c r="A207" s="55" t="s">
        <v>753</v>
      </c>
      <c r="B207" s="56" t="s">
        <v>293</v>
      </c>
      <c r="C207" s="57" t="s">
        <v>754</v>
      </c>
      <c r="D207" s="57" t="s">
        <v>755</v>
      </c>
      <c r="E207" s="58"/>
      <c r="F207" s="55">
        <v>2670000</v>
      </c>
      <c r="G207" s="59">
        <v>535491006</v>
      </c>
      <c r="H207" s="57" t="s">
        <v>755</v>
      </c>
      <c r="I207" s="54" t="s">
        <v>546</v>
      </c>
    </row>
    <row r="208" spans="1:9" ht="15.75" thickBot="1">
      <c r="A208" s="55" t="s">
        <v>756</v>
      </c>
      <c r="B208" s="56" t="s">
        <v>293</v>
      </c>
      <c r="C208" s="57" t="s">
        <v>757</v>
      </c>
      <c r="D208" s="57" t="s">
        <v>758</v>
      </c>
      <c r="E208" s="58"/>
      <c r="F208" s="55">
        <v>2590000</v>
      </c>
      <c r="G208" s="59">
        <v>538081006</v>
      </c>
      <c r="H208" s="57" t="s">
        <v>758</v>
      </c>
      <c r="I208" s="54" t="s">
        <v>546</v>
      </c>
    </row>
    <row r="209" spans="1:9" ht="15.75" thickBot="1">
      <c r="A209" s="55" t="s">
        <v>759</v>
      </c>
      <c r="B209" s="56" t="s">
        <v>293</v>
      </c>
      <c r="C209" s="57" t="s">
        <v>760</v>
      </c>
      <c r="D209" s="57" t="s">
        <v>761</v>
      </c>
      <c r="E209" s="58"/>
      <c r="F209" s="55">
        <v>1780000</v>
      </c>
      <c r="G209" s="59">
        <v>539861006</v>
      </c>
      <c r="H209" s="57" t="s">
        <v>761</v>
      </c>
      <c r="I209" s="54" t="s">
        <v>546</v>
      </c>
    </row>
    <row r="210" spans="1:9" ht="15.75" thickBot="1">
      <c r="A210" s="55" t="s">
        <v>762</v>
      </c>
      <c r="B210" s="56" t="s">
        <v>293</v>
      </c>
      <c r="C210" s="57" t="s">
        <v>763</v>
      </c>
      <c r="D210" s="57" t="s">
        <v>764</v>
      </c>
      <c r="E210" s="58"/>
      <c r="F210" s="55">
        <v>3490000</v>
      </c>
      <c r="G210" s="59">
        <v>543351006</v>
      </c>
      <c r="H210" s="57" t="s">
        <v>764</v>
      </c>
      <c r="I210" s="54" t="s">
        <v>546</v>
      </c>
    </row>
    <row r="211" spans="1:9" ht="15.75" thickBot="1">
      <c r="A211" s="55" t="s">
        <v>765</v>
      </c>
      <c r="B211" s="56" t="s">
        <v>293</v>
      </c>
      <c r="C211" s="57" t="s">
        <v>766</v>
      </c>
      <c r="D211" s="57" t="s">
        <v>767</v>
      </c>
      <c r="E211" s="58"/>
      <c r="F211" s="55">
        <v>2500000</v>
      </c>
      <c r="G211" s="59">
        <v>545851006</v>
      </c>
      <c r="H211" s="57" t="s">
        <v>767</v>
      </c>
      <c r="I211" s="54" t="s">
        <v>546</v>
      </c>
    </row>
    <row r="212" spans="1:9" ht="15.75" thickBot="1">
      <c r="A212" s="55" t="s">
        <v>768</v>
      </c>
      <c r="B212" s="56" t="s">
        <v>293</v>
      </c>
      <c r="C212" s="57" t="s">
        <v>769</v>
      </c>
      <c r="D212" s="57" t="s">
        <v>770</v>
      </c>
      <c r="E212" s="58"/>
      <c r="F212" s="55">
        <v>1000000</v>
      </c>
      <c r="G212" s="59">
        <v>546851006</v>
      </c>
      <c r="H212" s="57" t="s">
        <v>770</v>
      </c>
      <c r="I212" s="54" t="s">
        <v>546</v>
      </c>
    </row>
    <row r="213" spans="1:9" ht="15.75" thickBot="1">
      <c r="A213" s="55" t="s">
        <v>771</v>
      </c>
      <c r="B213" s="56" t="s">
        <v>293</v>
      </c>
      <c r="C213" s="57" t="s">
        <v>772</v>
      </c>
      <c r="D213" s="57" t="s">
        <v>773</v>
      </c>
      <c r="E213" s="58"/>
      <c r="F213" s="55">
        <v>1500000</v>
      </c>
      <c r="G213" s="59">
        <v>548351006</v>
      </c>
      <c r="H213" s="57" t="s">
        <v>773</v>
      </c>
      <c r="I213" s="54" t="s">
        <v>546</v>
      </c>
    </row>
    <row r="214" spans="1:9" ht="15.75" thickBot="1">
      <c r="A214" s="55" t="s">
        <v>774</v>
      </c>
      <c r="B214" s="56" t="s">
        <v>293</v>
      </c>
      <c r="C214" s="57" t="s">
        <v>775</v>
      </c>
      <c r="D214" s="57" t="s">
        <v>776</v>
      </c>
      <c r="E214" s="58"/>
      <c r="F214" s="55">
        <v>5340000</v>
      </c>
      <c r="G214" s="59">
        <v>553691006</v>
      </c>
      <c r="H214" s="57" t="s">
        <v>776</v>
      </c>
      <c r="I214" s="54" t="s">
        <v>546</v>
      </c>
    </row>
    <row r="215" spans="1:9" ht="15.75" thickBot="1">
      <c r="A215" s="55" t="s">
        <v>777</v>
      </c>
      <c r="B215" s="56" t="s">
        <v>293</v>
      </c>
      <c r="C215" s="57" t="s">
        <v>778</v>
      </c>
      <c r="D215" s="57" t="s">
        <v>779</v>
      </c>
      <c r="E215" s="58"/>
      <c r="F215" s="55">
        <v>1120000</v>
      </c>
      <c r="G215" s="59">
        <v>554811006</v>
      </c>
      <c r="H215" s="57" t="s">
        <v>779</v>
      </c>
      <c r="I215" s="54" t="s">
        <v>546</v>
      </c>
    </row>
    <row r="216" spans="1:9" ht="15.75" thickBot="1">
      <c r="A216" s="55" t="s">
        <v>780</v>
      </c>
      <c r="B216" s="56" t="s">
        <v>293</v>
      </c>
      <c r="C216" s="57" t="s">
        <v>781</v>
      </c>
      <c r="D216" s="57" t="s">
        <v>779</v>
      </c>
      <c r="E216" s="58"/>
      <c r="F216" s="55">
        <v>1510000</v>
      </c>
      <c r="G216" s="59">
        <v>556321006</v>
      </c>
      <c r="H216" s="57" t="s">
        <v>779</v>
      </c>
      <c r="I216" s="54" t="s">
        <v>546</v>
      </c>
    </row>
    <row r="217" spans="1:9" ht="15.75" thickBot="1">
      <c r="A217" s="55" t="s">
        <v>782</v>
      </c>
      <c r="B217" s="56" t="s">
        <v>293</v>
      </c>
      <c r="C217" s="57" t="s">
        <v>783</v>
      </c>
      <c r="D217" s="57" t="s">
        <v>784</v>
      </c>
      <c r="E217" s="58"/>
      <c r="F217" s="55">
        <v>3340000</v>
      </c>
      <c r="G217" s="59">
        <v>559661006</v>
      </c>
      <c r="H217" s="57" t="s">
        <v>784</v>
      </c>
      <c r="I217" s="54" t="s">
        <v>546</v>
      </c>
    </row>
    <row r="218" spans="1:9" ht="15.75" thickBot="1">
      <c r="A218" s="55" t="s">
        <v>785</v>
      </c>
      <c r="B218" s="56" t="s">
        <v>293</v>
      </c>
      <c r="C218" s="57" t="s">
        <v>786</v>
      </c>
      <c r="D218" s="57" t="s">
        <v>787</v>
      </c>
      <c r="E218" s="58"/>
      <c r="F218" s="55">
        <v>3560000</v>
      </c>
      <c r="G218" s="59">
        <v>563221006</v>
      </c>
      <c r="H218" s="57" t="s">
        <v>787</v>
      </c>
      <c r="I218" s="54" t="s">
        <v>546</v>
      </c>
    </row>
    <row r="219" spans="1:9" ht="15.75" thickBot="1">
      <c r="A219" s="55" t="s">
        <v>788</v>
      </c>
      <c r="B219" s="56" t="s">
        <v>293</v>
      </c>
      <c r="C219" s="57" t="s">
        <v>789</v>
      </c>
      <c r="D219" s="57" t="s">
        <v>790</v>
      </c>
      <c r="E219" s="58"/>
      <c r="F219" s="55">
        <v>1500000</v>
      </c>
      <c r="G219" s="59">
        <v>564721006</v>
      </c>
      <c r="H219" s="57" t="s">
        <v>790</v>
      </c>
      <c r="I219" s="54" t="s">
        <v>546</v>
      </c>
    </row>
    <row r="220" spans="1:9" ht="15.75" thickBot="1">
      <c r="A220" s="55" t="s">
        <v>791</v>
      </c>
      <c r="B220" s="56" t="s">
        <v>293</v>
      </c>
      <c r="C220" s="57" t="s">
        <v>792</v>
      </c>
      <c r="D220" s="57" t="s">
        <v>793</v>
      </c>
      <c r="E220" s="58"/>
      <c r="F220" s="55">
        <v>3100000</v>
      </c>
      <c r="G220" s="59">
        <v>567821006</v>
      </c>
      <c r="H220" s="57" t="s">
        <v>793</v>
      </c>
      <c r="I220" s="54" t="s">
        <v>546</v>
      </c>
    </row>
    <row r="221" spans="1:9" ht="15.75" thickBot="1">
      <c r="A221" s="55" t="s">
        <v>794</v>
      </c>
      <c r="B221" s="56" t="s">
        <v>293</v>
      </c>
      <c r="C221" s="57" t="s">
        <v>795</v>
      </c>
      <c r="D221" s="57" t="s">
        <v>796</v>
      </c>
      <c r="E221" s="58"/>
      <c r="F221" s="55">
        <v>2590000</v>
      </c>
      <c r="G221" s="59">
        <v>570411006</v>
      </c>
      <c r="H221" s="57" t="s">
        <v>796</v>
      </c>
      <c r="I221" s="54" t="s">
        <v>546</v>
      </c>
    </row>
    <row r="222" spans="1:9" ht="15.75" thickBot="1">
      <c r="A222" s="55" t="s">
        <v>797</v>
      </c>
      <c r="B222" s="56" t="s">
        <v>293</v>
      </c>
      <c r="C222" s="57" t="s">
        <v>798</v>
      </c>
      <c r="D222" s="57" t="s">
        <v>799</v>
      </c>
      <c r="E222" s="58"/>
      <c r="F222" s="55">
        <v>4660000</v>
      </c>
      <c r="G222" s="59">
        <v>575071006</v>
      </c>
      <c r="H222" s="57" t="s">
        <v>799</v>
      </c>
      <c r="I222" s="54" t="s">
        <v>546</v>
      </c>
    </row>
    <row r="223" spans="1:9" ht="15.75" thickBot="1">
      <c r="A223" s="55" t="s">
        <v>800</v>
      </c>
      <c r="B223" s="56" t="s">
        <v>293</v>
      </c>
      <c r="C223" s="57" t="s">
        <v>801</v>
      </c>
      <c r="D223" s="57" t="s">
        <v>802</v>
      </c>
      <c r="E223" s="58"/>
      <c r="F223" s="55">
        <v>7120000</v>
      </c>
      <c r="G223" s="59">
        <v>582191006</v>
      </c>
      <c r="H223" s="57" t="s">
        <v>802</v>
      </c>
      <c r="I223" s="54" t="s">
        <v>546</v>
      </c>
    </row>
    <row r="224" spans="1:9" ht="15.75" thickBot="1">
      <c r="A224" s="55" t="s">
        <v>803</v>
      </c>
      <c r="B224" s="56" t="s">
        <v>293</v>
      </c>
      <c r="C224" s="57" t="s">
        <v>804</v>
      </c>
      <c r="D224" s="57" t="s">
        <v>805</v>
      </c>
      <c r="E224" s="58"/>
      <c r="F224" s="55">
        <v>3560000</v>
      </c>
      <c r="G224" s="59">
        <v>585751006</v>
      </c>
      <c r="H224" s="57" t="s">
        <v>805</v>
      </c>
      <c r="I224" s="54" t="s">
        <v>546</v>
      </c>
    </row>
    <row r="225" spans="1:9" ht="15.75" thickBot="1">
      <c r="A225" s="55" t="s">
        <v>806</v>
      </c>
      <c r="B225" s="56" t="s">
        <v>293</v>
      </c>
      <c r="C225" s="57" t="s">
        <v>807</v>
      </c>
      <c r="D225" s="57" t="s">
        <v>808</v>
      </c>
      <c r="E225" s="58"/>
      <c r="F225" s="55">
        <v>1780000</v>
      </c>
      <c r="G225" s="59">
        <v>587531006</v>
      </c>
      <c r="H225" s="57" t="s">
        <v>808</v>
      </c>
      <c r="I225" s="54" t="s">
        <v>546</v>
      </c>
    </row>
    <row r="226" spans="1:9" ht="15.75" thickBot="1">
      <c r="A226" s="55" t="s">
        <v>809</v>
      </c>
      <c r="B226" s="56" t="s">
        <v>293</v>
      </c>
      <c r="C226" s="57" t="s">
        <v>810</v>
      </c>
      <c r="D226" s="57" t="s">
        <v>811</v>
      </c>
      <c r="E226" s="58"/>
      <c r="F226" s="55">
        <v>2320000</v>
      </c>
      <c r="G226" s="59">
        <v>589851006</v>
      </c>
      <c r="H226" s="57" t="s">
        <v>811</v>
      </c>
      <c r="I226" s="54" t="s">
        <v>546</v>
      </c>
    </row>
    <row r="227" spans="1:9" ht="15.75" thickBot="1">
      <c r="A227" s="55" t="s">
        <v>812</v>
      </c>
      <c r="B227" s="56" t="s">
        <v>293</v>
      </c>
      <c r="C227" s="57" t="s">
        <v>813</v>
      </c>
      <c r="D227" s="57" t="s">
        <v>814</v>
      </c>
      <c r="E227" s="58"/>
      <c r="F227" s="55">
        <v>9710000</v>
      </c>
      <c r="G227" s="59">
        <v>599561006</v>
      </c>
      <c r="H227" s="57" t="s">
        <v>814</v>
      </c>
      <c r="I227" s="54" t="s">
        <v>546</v>
      </c>
    </row>
    <row r="228" spans="1:9" ht="15.75" thickBot="1">
      <c r="A228" s="55" t="s">
        <v>815</v>
      </c>
      <c r="B228" s="56" t="s">
        <v>293</v>
      </c>
      <c r="C228" s="57" t="s">
        <v>816</v>
      </c>
      <c r="D228" s="57" t="s">
        <v>817</v>
      </c>
      <c r="E228" s="58"/>
      <c r="F228" s="55">
        <v>7900000</v>
      </c>
      <c r="G228" s="59">
        <v>607461006</v>
      </c>
      <c r="H228" s="57" t="s">
        <v>817</v>
      </c>
      <c r="I228" s="54" t="s">
        <v>546</v>
      </c>
    </row>
    <row r="229" spans="1:9" ht="15.75" thickBot="1">
      <c r="A229" s="55" t="s">
        <v>818</v>
      </c>
      <c r="B229" s="56" t="s">
        <v>293</v>
      </c>
      <c r="C229" s="57" t="s">
        <v>819</v>
      </c>
      <c r="D229" s="57" t="s">
        <v>820</v>
      </c>
      <c r="E229" s="58"/>
      <c r="F229" s="55">
        <v>3560000</v>
      </c>
      <c r="G229" s="59">
        <v>611021006</v>
      </c>
      <c r="H229" s="57" t="s">
        <v>820</v>
      </c>
      <c r="I229" s="54" t="s">
        <v>546</v>
      </c>
    </row>
    <row r="230" spans="1:9" ht="15.75" thickBot="1">
      <c r="A230" s="55" t="s">
        <v>821</v>
      </c>
      <c r="B230" s="56" t="s">
        <v>293</v>
      </c>
      <c r="C230" s="57" t="s">
        <v>822</v>
      </c>
      <c r="D230" s="57" t="s">
        <v>823</v>
      </c>
      <c r="E230" s="58"/>
      <c r="F230" s="55">
        <v>1000000</v>
      </c>
      <c r="G230" s="59">
        <v>612021006</v>
      </c>
      <c r="H230" s="57" t="s">
        <v>823</v>
      </c>
      <c r="I230" s="54" t="s">
        <v>546</v>
      </c>
    </row>
    <row r="231" spans="1:9" ht="15.75" thickBot="1">
      <c r="A231" s="55" t="s">
        <v>824</v>
      </c>
      <c r="B231" s="56" t="s">
        <v>293</v>
      </c>
      <c r="C231" s="57" t="s">
        <v>825</v>
      </c>
      <c r="D231" s="57" t="s">
        <v>826</v>
      </c>
      <c r="E231" s="58"/>
      <c r="F231" s="55">
        <v>14760000</v>
      </c>
      <c r="G231" s="59">
        <v>626781006</v>
      </c>
      <c r="H231" s="57" t="s">
        <v>826</v>
      </c>
      <c r="I231" s="54" t="s">
        <v>546</v>
      </c>
    </row>
    <row r="232" spans="1:9" ht="15.75" thickBot="1">
      <c r="A232" s="55" t="s">
        <v>827</v>
      </c>
      <c r="B232" s="56" t="s">
        <v>293</v>
      </c>
      <c r="C232" s="57" t="s">
        <v>828</v>
      </c>
      <c r="D232" s="57" t="s">
        <v>829</v>
      </c>
      <c r="E232" s="58"/>
      <c r="F232" s="55">
        <v>900000</v>
      </c>
      <c r="G232" s="59">
        <v>627681006</v>
      </c>
      <c r="H232" s="57" t="s">
        <v>829</v>
      </c>
      <c r="I232" s="54" t="s">
        <v>546</v>
      </c>
    </row>
    <row r="233" spans="1:9" ht="15.75" thickBot="1">
      <c r="A233" s="55" t="s">
        <v>830</v>
      </c>
      <c r="B233" s="56" t="s">
        <v>293</v>
      </c>
      <c r="C233" s="57" t="s">
        <v>831</v>
      </c>
      <c r="D233" s="57" t="s">
        <v>832</v>
      </c>
      <c r="E233" s="58"/>
      <c r="F233" s="55">
        <v>10344000</v>
      </c>
      <c r="G233" s="59">
        <v>638025006</v>
      </c>
      <c r="H233" s="57" t="s">
        <v>832</v>
      </c>
      <c r="I233" s="54" t="s">
        <v>546</v>
      </c>
    </row>
    <row r="234" spans="1:9" ht="15.75" thickBot="1">
      <c r="A234" s="55" t="s">
        <v>833</v>
      </c>
      <c r="B234" s="56" t="s">
        <v>293</v>
      </c>
      <c r="C234" s="57" t="s">
        <v>834</v>
      </c>
      <c r="D234" s="57" t="s">
        <v>835</v>
      </c>
      <c r="E234" s="58"/>
      <c r="F234" s="55">
        <v>16980000</v>
      </c>
      <c r="G234" s="59">
        <v>655005006</v>
      </c>
      <c r="H234" s="57" t="s">
        <v>835</v>
      </c>
      <c r="I234" s="54" t="s">
        <v>546</v>
      </c>
    </row>
    <row r="235" spans="1:9" ht="15.75" thickBot="1">
      <c r="A235" s="55" t="s">
        <v>836</v>
      </c>
      <c r="B235" s="56" t="s">
        <v>293</v>
      </c>
      <c r="C235" s="57" t="s">
        <v>837</v>
      </c>
      <c r="D235" s="57" t="s">
        <v>838</v>
      </c>
      <c r="E235" s="58"/>
      <c r="F235" s="55">
        <v>14150000</v>
      </c>
      <c r="G235" s="59">
        <v>669155006</v>
      </c>
      <c r="H235" s="57" t="s">
        <v>838</v>
      </c>
      <c r="I235" s="54" t="s">
        <v>546</v>
      </c>
    </row>
    <row r="236" spans="1:9" ht="15.75" thickBot="1">
      <c r="A236" s="55" t="s">
        <v>839</v>
      </c>
      <c r="B236" s="56" t="s">
        <v>293</v>
      </c>
      <c r="C236" s="57" t="s">
        <v>840</v>
      </c>
      <c r="D236" s="57" t="s">
        <v>841</v>
      </c>
      <c r="E236" s="58"/>
      <c r="F236" s="55">
        <v>3900000</v>
      </c>
      <c r="G236" s="59">
        <v>673055006</v>
      </c>
      <c r="H236" s="57" t="s">
        <v>841</v>
      </c>
      <c r="I236" s="54" t="s">
        <v>546</v>
      </c>
    </row>
    <row r="237" spans="1:9" ht="15.75" thickBot="1">
      <c r="A237" s="55" t="s">
        <v>842</v>
      </c>
      <c r="B237" s="56" t="s">
        <v>293</v>
      </c>
      <c r="C237" s="57" t="s">
        <v>843</v>
      </c>
      <c r="D237" s="57" t="s">
        <v>844</v>
      </c>
      <c r="E237" s="58"/>
      <c r="F237" s="55">
        <v>4170000</v>
      </c>
      <c r="G237" s="59">
        <v>677225006</v>
      </c>
      <c r="H237" s="57" t="s">
        <v>844</v>
      </c>
      <c r="I237" s="54" t="s">
        <v>546</v>
      </c>
    </row>
    <row r="238" spans="1:9" ht="15.75" thickBot="1">
      <c r="A238" s="55" t="s">
        <v>845</v>
      </c>
      <c r="B238" s="56" t="s">
        <v>293</v>
      </c>
      <c r="C238" s="57" t="s">
        <v>846</v>
      </c>
      <c r="D238" s="57" t="s">
        <v>847</v>
      </c>
      <c r="E238" s="58"/>
      <c r="F238" s="55">
        <v>2000000</v>
      </c>
      <c r="G238" s="59">
        <v>679225006</v>
      </c>
      <c r="H238" s="57" t="s">
        <v>847</v>
      </c>
      <c r="I238" s="54" t="s">
        <v>546</v>
      </c>
    </row>
    <row r="239" spans="1:9" ht="15.75" thickBot="1">
      <c r="A239" s="55" t="s">
        <v>848</v>
      </c>
      <c r="B239" s="56" t="s">
        <v>293</v>
      </c>
      <c r="C239" s="57" t="s">
        <v>849</v>
      </c>
      <c r="D239" s="57" t="s">
        <v>850</v>
      </c>
      <c r="E239" s="58"/>
      <c r="F239" s="55">
        <v>1150000</v>
      </c>
      <c r="G239" s="59">
        <v>680375006</v>
      </c>
      <c r="H239" s="57" t="s">
        <v>850</v>
      </c>
      <c r="I239" s="54" t="s">
        <v>546</v>
      </c>
    </row>
    <row r="240" spans="1:9" ht="15.75" thickBot="1">
      <c r="A240" s="55" t="s">
        <v>851</v>
      </c>
      <c r="B240" s="56" t="s">
        <v>293</v>
      </c>
      <c r="C240" s="57" t="s">
        <v>852</v>
      </c>
      <c r="D240" s="57" t="s">
        <v>853</v>
      </c>
      <c r="E240" s="58"/>
      <c r="F240" s="55">
        <v>1000000</v>
      </c>
      <c r="G240" s="59">
        <v>681375006</v>
      </c>
      <c r="H240" s="57" t="s">
        <v>853</v>
      </c>
      <c r="I240" s="54" t="s">
        <v>546</v>
      </c>
    </row>
    <row r="241" spans="1:9" ht="15.75" thickBot="1">
      <c r="A241" s="55" t="s">
        <v>854</v>
      </c>
      <c r="B241" s="56" t="s">
        <v>293</v>
      </c>
      <c r="C241" s="57" t="s">
        <v>855</v>
      </c>
      <c r="D241" s="57" t="s">
        <v>856</v>
      </c>
      <c r="E241" s="58"/>
      <c r="F241" s="55">
        <v>2451000</v>
      </c>
      <c r="G241" s="59">
        <v>683826006</v>
      </c>
      <c r="H241" s="57" t="s">
        <v>856</v>
      </c>
      <c r="I241" s="54" t="s">
        <v>546</v>
      </c>
    </row>
    <row r="242" spans="1:9" ht="15.75" thickBot="1">
      <c r="A242" s="55" t="s">
        <v>857</v>
      </c>
      <c r="B242" s="56" t="s">
        <v>293</v>
      </c>
      <c r="C242" s="57" t="s">
        <v>858</v>
      </c>
      <c r="D242" s="57" t="s">
        <v>859</v>
      </c>
      <c r="E242" s="58"/>
      <c r="F242" s="55">
        <v>2670000</v>
      </c>
      <c r="G242" s="59">
        <v>686496006</v>
      </c>
      <c r="H242" s="57" t="s">
        <v>859</v>
      </c>
      <c r="I242" s="54" t="s">
        <v>546</v>
      </c>
    </row>
    <row r="243" spans="1:9" ht="15.75" thickBot="1">
      <c r="A243" s="55" t="s">
        <v>860</v>
      </c>
      <c r="B243" s="56" t="s">
        <v>293</v>
      </c>
      <c r="C243" s="57" t="s">
        <v>861</v>
      </c>
      <c r="D243" s="57" t="s">
        <v>862</v>
      </c>
      <c r="E243" s="58"/>
      <c r="F243" s="55">
        <v>2670000</v>
      </c>
      <c r="G243" s="59">
        <v>689166006</v>
      </c>
      <c r="H243" s="57" t="s">
        <v>862</v>
      </c>
      <c r="I243" s="54" t="s">
        <v>546</v>
      </c>
    </row>
    <row r="244" spans="1:9" ht="15.75" thickBot="1">
      <c r="A244" s="55" t="s">
        <v>20</v>
      </c>
      <c r="B244" s="56" t="s">
        <v>293</v>
      </c>
      <c r="C244" s="57" t="s">
        <v>863</v>
      </c>
      <c r="D244" s="57" t="s">
        <v>864</v>
      </c>
      <c r="E244" s="58"/>
      <c r="F244" s="55">
        <v>5340000</v>
      </c>
      <c r="G244" s="59">
        <v>694506006</v>
      </c>
      <c r="H244" s="57" t="s">
        <v>864</v>
      </c>
      <c r="I244" s="54" t="s">
        <v>546</v>
      </c>
    </row>
    <row r="245" spans="1:9" ht="15.75" thickBot="1">
      <c r="A245" s="55" t="s">
        <v>865</v>
      </c>
      <c r="B245" s="56" t="s">
        <v>293</v>
      </c>
      <c r="C245" s="57" t="s">
        <v>866</v>
      </c>
      <c r="D245" s="57" t="s">
        <v>867</v>
      </c>
      <c r="E245" s="58"/>
      <c r="F245" s="55">
        <v>3560000</v>
      </c>
      <c r="G245" s="59">
        <v>698066006</v>
      </c>
      <c r="H245" s="57" t="s">
        <v>867</v>
      </c>
      <c r="I245" s="54" t="s">
        <v>546</v>
      </c>
    </row>
    <row r="246" spans="1:9" ht="15.75" thickBot="1">
      <c r="A246" s="55" t="s">
        <v>868</v>
      </c>
      <c r="B246" s="56" t="s">
        <v>293</v>
      </c>
      <c r="C246" s="57" t="s">
        <v>869</v>
      </c>
      <c r="D246" s="57" t="s">
        <v>870</v>
      </c>
      <c r="E246" s="60">
        <v>44000</v>
      </c>
      <c r="F246" s="58"/>
      <c r="G246" s="59">
        <v>698022006</v>
      </c>
      <c r="H246" s="57" t="s">
        <v>870</v>
      </c>
      <c r="I246" s="54" t="s">
        <v>546</v>
      </c>
    </row>
    <row r="247" spans="1:9" ht="15.75" thickBot="1">
      <c r="A247" s="55" t="s">
        <v>871</v>
      </c>
      <c r="B247" s="56" t="s">
        <v>293</v>
      </c>
      <c r="C247" s="57" t="s">
        <v>872</v>
      </c>
      <c r="D247" s="57" t="s">
        <v>873</v>
      </c>
      <c r="E247" s="58"/>
      <c r="F247" s="59">
        <v>2000000</v>
      </c>
      <c r="G247" s="59">
        <v>700022006</v>
      </c>
      <c r="H247" s="57" t="s">
        <v>873</v>
      </c>
      <c r="I247" s="54" t="s">
        <v>546</v>
      </c>
    </row>
    <row r="248" spans="1:9" ht="15.75" thickBot="1">
      <c r="A248" s="55" t="s">
        <v>874</v>
      </c>
      <c r="B248" s="56" t="s">
        <v>293</v>
      </c>
      <c r="C248" s="57" t="s">
        <v>875</v>
      </c>
      <c r="D248" s="57" t="s">
        <v>876</v>
      </c>
      <c r="E248" s="58"/>
      <c r="F248" s="59">
        <v>1780000</v>
      </c>
      <c r="G248" s="59">
        <v>701802006</v>
      </c>
      <c r="H248" s="57" t="s">
        <v>876</v>
      </c>
      <c r="I248" s="54" t="s">
        <v>546</v>
      </c>
    </row>
    <row r="249" spans="1:9" ht="15.75" thickBot="1">
      <c r="A249" s="55" t="s">
        <v>877</v>
      </c>
      <c r="B249" s="56" t="s">
        <v>293</v>
      </c>
      <c r="C249" s="57" t="s">
        <v>878</v>
      </c>
      <c r="D249" s="57" t="s">
        <v>879</v>
      </c>
      <c r="E249" s="58"/>
      <c r="F249" s="59">
        <v>500000</v>
      </c>
      <c r="G249" s="59">
        <v>702302006</v>
      </c>
      <c r="H249" s="57" t="s">
        <v>879</v>
      </c>
      <c r="I249" s="54" t="s">
        <v>546</v>
      </c>
    </row>
    <row r="250" spans="1:9" ht="15.75" thickBot="1">
      <c r="A250" s="55" t="s">
        <v>880</v>
      </c>
      <c r="B250" s="56" t="s">
        <v>293</v>
      </c>
      <c r="C250" s="57" t="s">
        <v>881</v>
      </c>
      <c r="D250" s="57" t="s">
        <v>882</v>
      </c>
      <c r="E250" s="58"/>
      <c r="F250" s="59">
        <v>4000000</v>
      </c>
      <c r="G250" s="59">
        <v>706302006</v>
      </c>
      <c r="H250" s="57" t="s">
        <v>882</v>
      </c>
      <c r="I250" s="54" t="s">
        <v>546</v>
      </c>
    </row>
    <row r="251" spans="1:9" ht="15.75" thickBot="1">
      <c r="A251" s="55" t="s">
        <v>883</v>
      </c>
      <c r="B251" s="56" t="s">
        <v>293</v>
      </c>
      <c r="C251" s="57" t="s">
        <v>884</v>
      </c>
      <c r="D251" s="57" t="s">
        <v>885</v>
      </c>
      <c r="E251" s="58"/>
      <c r="F251" s="59">
        <v>200000</v>
      </c>
      <c r="G251" s="59">
        <v>706502006</v>
      </c>
      <c r="H251" s="57" t="s">
        <v>885</v>
      </c>
      <c r="I251" s="54" t="s">
        <v>546</v>
      </c>
    </row>
    <row r="252" spans="1:9" ht="15.75" thickBot="1">
      <c r="A252" s="55" t="s">
        <v>886</v>
      </c>
      <c r="B252" s="56" t="s">
        <v>293</v>
      </c>
      <c r="C252" s="57" t="s">
        <v>887</v>
      </c>
      <c r="D252" s="57" t="s">
        <v>888</v>
      </c>
      <c r="E252" s="58"/>
      <c r="F252" s="59">
        <v>4040000</v>
      </c>
      <c r="G252" s="59">
        <v>710542006</v>
      </c>
      <c r="H252" s="57" t="s">
        <v>888</v>
      </c>
      <c r="I252" s="54" t="s">
        <v>546</v>
      </c>
    </row>
    <row r="253" spans="1:9" ht="15.75" thickBot="1">
      <c r="A253" s="55" t="s">
        <v>889</v>
      </c>
      <c r="B253" s="56" t="s">
        <v>293</v>
      </c>
      <c r="C253" s="57" t="s">
        <v>890</v>
      </c>
      <c r="D253" s="57" t="s">
        <v>891</v>
      </c>
      <c r="E253" s="58"/>
      <c r="F253" s="59">
        <v>5440000</v>
      </c>
      <c r="G253" s="59">
        <v>715982006</v>
      </c>
      <c r="H253" s="57" t="s">
        <v>891</v>
      </c>
      <c r="I253" s="54" t="s">
        <v>546</v>
      </c>
    </row>
    <row r="254" spans="1:9" ht="15.75" thickBot="1">
      <c r="A254" s="55" t="s">
        <v>892</v>
      </c>
      <c r="B254" s="56" t="s">
        <v>293</v>
      </c>
      <c r="C254" s="57" t="s">
        <v>893</v>
      </c>
      <c r="D254" s="57" t="s">
        <v>894</v>
      </c>
      <c r="E254" s="58"/>
      <c r="F254" s="59">
        <v>4090000</v>
      </c>
      <c r="G254" s="59">
        <v>720072006</v>
      </c>
      <c r="H254" s="57" t="s">
        <v>894</v>
      </c>
      <c r="I254" s="54" t="s">
        <v>546</v>
      </c>
    </row>
    <row r="255" spans="1:9" ht="15.75" thickBot="1">
      <c r="A255" s="55" t="s">
        <v>895</v>
      </c>
      <c r="B255" s="56" t="s">
        <v>293</v>
      </c>
      <c r="C255" s="57" t="s">
        <v>896</v>
      </c>
      <c r="D255" s="57" t="s">
        <v>897</v>
      </c>
      <c r="E255" s="60">
        <v>400000000</v>
      </c>
      <c r="F255" s="58"/>
      <c r="G255" s="59">
        <v>320072006</v>
      </c>
      <c r="H255" s="57" t="s">
        <v>897</v>
      </c>
      <c r="I255" s="54" t="s">
        <v>546</v>
      </c>
    </row>
    <row r="256" spans="1:9" ht="15.75" thickBot="1">
      <c r="A256" s="55" t="s">
        <v>898</v>
      </c>
      <c r="B256" s="56" t="s">
        <v>293</v>
      </c>
      <c r="C256" s="57" t="s">
        <v>899</v>
      </c>
      <c r="D256" s="57" t="s">
        <v>900</v>
      </c>
      <c r="E256" s="60">
        <v>300000000</v>
      </c>
      <c r="F256" s="58"/>
      <c r="G256" s="59">
        <v>20072006</v>
      </c>
      <c r="H256" s="57" t="s">
        <v>900</v>
      </c>
      <c r="I256" s="54" t="s">
        <v>546</v>
      </c>
    </row>
    <row r="257" spans="1:9" ht="15.75" thickBot="1">
      <c r="A257" s="55" t="s">
        <v>901</v>
      </c>
      <c r="B257" s="56" t="s">
        <v>293</v>
      </c>
      <c r="C257" s="57" t="s">
        <v>902</v>
      </c>
      <c r="D257" s="57" t="s">
        <v>903</v>
      </c>
      <c r="E257" s="58"/>
      <c r="F257" s="59">
        <v>5340000</v>
      </c>
      <c r="G257" s="59">
        <v>25412006</v>
      </c>
      <c r="H257" s="57" t="s">
        <v>903</v>
      </c>
      <c r="I257" s="54" t="s">
        <v>546</v>
      </c>
    </row>
    <row r="258" spans="1:9" ht="15.75" thickBot="1">
      <c r="A258" s="55" t="s">
        <v>904</v>
      </c>
      <c r="B258" s="56" t="s">
        <v>293</v>
      </c>
      <c r="C258" s="57" t="s">
        <v>905</v>
      </c>
      <c r="D258" s="57" t="s">
        <v>906</v>
      </c>
      <c r="E258" s="58"/>
      <c r="F258" s="59">
        <v>6670000</v>
      </c>
      <c r="G258" s="59">
        <v>32082006</v>
      </c>
      <c r="H258" s="57" t="s">
        <v>906</v>
      </c>
      <c r="I258" s="54" t="s">
        <v>546</v>
      </c>
    </row>
    <row r="259" spans="1:9" ht="15.75" thickBot="1">
      <c r="A259" s="55" t="s">
        <v>907</v>
      </c>
      <c r="B259" s="56" t="s">
        <v>293</v>
      </c>
      <c r="C259" s="57" t="s">
        <v>908</v>
      </c>
      <c r="D259" s="57" t="s">
        <v>909</v>
      </c>
      <c r="E259" s="58"/>
      <c r="F259" s="59">
        <v>2269000</v>
      </c>
      <c r="G259" s="59">
        <v>34351006</v>
      </c>
      <c r="H259" s="57" t="s">
        <v>909</v>
      </c>
      <c r="I259" s="54" t="s">
        <v>546</v>
      </c>
    </row>
    <row r="260" spans="1:9" ht="15.75" thickBot="1">
      <c r="A260" s="55" t="s">
        <v>910</v>
      </c>
      <c r="B260" s="56" t="s">
        <v>293</v>
      </c>
      <c r="C260" s="57" t="s">
        <v>911</v>
      </c>
      <c r="D260" s="57" t="s">
        <v>912</v>
      </c>
      <c r="E260" s="58"/>
      <c r="F260" s="59">
        <v>4670000</v>
      </c>
      <c r="G260" s="59">
        <v>39021006</v>
      </c>
      <c r="H260" s="57" t="s">
        <v>912</v>
      </c>
      <c r="I260" s="54" t="s">
        <v>546</v>
      </c>
    </row>
    <row r="261" spans="1:9" ht="15.75" thickBot="1">
      <c r="A261" s="55" t="s">
        <v>913</v>
      </c>
      <c r="B261" s="56" t="s">
        <v>293</v>
      </c>
      <c r="C261" s="57" t="s">
        <v>914</v>
      </c>
      <c r="D261" s="57" t="s">
        <v>915</v>
      </c>
      <c r="E261" s="58"/>
      <c r="F261" s="59">
        <v>3560000</v>
      </c>
      <c r="G261" s="59">
        <v>42581006</v>
      </c>
      <c r="H261" s="57" t="s">
        <v>915</v>
      </c>
      <c r="I261" s="54" t="s">
        <v>546</v>
      </c>
    </row>
    <row r="262" spans="1:9" ht="15.75" thickBot="1">
      <c r="A262" s="55" t="s">
        <v>916</v>
      </c>
      <c r="B262" s="56" t="s">
        <v>293</v>
      </c>
      <c r="C262" s="57" t="s">
        <v>917</v>
      </c>
      <c r="D262" s="57" t="s">
        <v>918</v>
      </c>
      <c r="E262" s="58"/>
      <c r="F262" s="59">
        <v>3200000</v>
      </c>
      <c r="G262" s="59">
        <v>45781006</v>
      </c>
      <c r="H262" s="57" t="s">
        <v>918</v>
      </c>
      <c r="I262" s="54" t="s">
        <v>546</v>
      </c>
    </row>
    <row r="263" spans="1:9" ht="15.75" thickBot="1">
      <c r="A263" s="55" t="s">
        <v>919</v>
      </c>
      <c r="B263" s="56" t="s">
        <v>293</v>
      </c>
      <c r="C263" s="57" t="s">
        <v>920</v>
      </c>
      <c r="D263" s="57" t="s">
        <v>921</v>
      </c>
      <c r="E263" s="58"/>
      <c r="F263" s="59">
        <v>500000</v>
      </c>
      <c r="G263" s="59">
        <v>46281006</v>
      </c>
      <c r="H263" s="57" t="s">
        <v>921</v>
      </c>
      <c r="I263" s="54" t="s">
        <v>546</v>
      </c>
    </row>
    <row r="264" spans="1:9" ht="15.75" thickBot="1">
      <c r="A264" s="55" t="s">
        <v>922</v>
      </c>
      <c r="B264" s="56" t="s">
        <v>293</v>
      </c>
      <c r="C264" s="57" t="s">
        <v>923</v>
      </c>
      <c r="D264" s="57" t="s">
        <v>924</v>
      </c>
      <c r="E264" s="58"/>
      <c r="F264" s="59">
        <v>1840000</v>
      </c>
      <c r="G264" s="59">
        <v>48121006</v>
      </c>
      <c r="H264" s="57" t="s">
        <v>924</v>
      </c>
      <c r="I264" s="54" t="s">
        <v>546</v>
      </c>
    </row>
    <row r="265" spans="1:9" ht="15.75" thickBot="1">
      <c r="A265" s="55" t="s">
        <v>925</v>
      </c>
      <c r="B265" s="56" t="s">
        <v>293</v>
      </c>
      <c r="C265" s="57" t="s">
        <v>926</v>
      </c>
      <c r="D265" s="57" t="s">
        <v>927</v>
      </c>
      <c r="E265" s="58"/>
      <c r="F265" s="59">
        <v>2670000</v>
      </c>
      <c r="G265" s="59">
        <v>50791006</v>
      </c>
      <c r="H265" s="57" t="s">
        <v>927</v>
      </c>
      <c r="I265" s="54" t="s">
        <v>546</v>
      </c>
    </row>
    <row r="266" spans="1:9" ht="15.75" thickBot="1">
      <c r="A266" s="55" t="s">
        <v>928</v>
      </c>
      <c r="B266" s="56" t="s">
        <v>293</v>
      </c>
      <c r="C266" s="57" t="s">
        <v>929</v>
      </c>
      <c r="D266" s="57" t="s">
        <v>930</v>
      </c>
      <c r="E266" s="58"/>
      <c r="F266" s="59">
        <v>1750000</v>
      </c>
      <c r="G266" s="59">
        <v>52541006</v>
      </c>
      <c r="H266" s="57" t="s">
        <v>930</v>
      </c>
      <c r="I266" s="54" t="s">
        <v>546</v>
      </c>
    </row>
    <row r="267" spans="1:9" ht="15.75" thickBot="1">
      <c r="A267" s="55" t="s">
        <v>931</v>
      </c>
      <c r="B267" s="56" t="s">
        <v>293</v>
      </c>
      <c r="C267" s="57" t="s">
        <v>932</v>
      </c>
      <c r="D267" s="57" t="s">
        <v>933</v>
      </c>
      <c r="E267" s="58"/>
      <c r="F267" s="59">
        <v>1350000</v>
      </c>
      <c r="G267" s="59">
        <v>53891006</v>
      </c>
      <c r="H267" s="57" t="s">
        <v>933</v>
      </c>
      <c r="I267" s="54" t="s">
        <v>546</v>
      </c>
    </row>
    <row r="268" spans="1:9" ht="15.75" thickBot="1">
      <c r="A268" s="55" t="s">
        <v>934</v>
      </c>
      <c r="B268" s="56" t="s">
        <v>293</v>
      </c>
      <c r="C268" s="57" t="s">
        <v>935</v>
      </c>
      <c r="D268" s="57" t="s">
        <v>936</v>
      </c>
      <c r="E268" s="58"/>
      <c r="F268" s="59">
        <v>1500000</v>
      </c>
      <c r="G268" s="59">
        <v>55391006</v>
      </c>
      <c r="H268" s="57" t="s">
        <v>936</v>
      </c>
      <c r="I268" s="54" t="s">
        <v>546</v>
      </c>
    </row>
    <row r="269" spans="1:9" ht="15.75" thickBot="1">
      <c r="A269" s="55" t="s">
        <v>937</v>
      </c>
      <c r="B269" s="56" t="s">
        <v>293</v>
      </c>
      <c r="C269" s="57" t="s">
        <v>938</v>
      </c>
      <c r="D269" s="57" t="s">
        <v>939</v>
      </c>
      <c r="E269" s="58"/>
      <c r="F269" s="59">
        <v>2800000</v>
      </c>
      <c r="G269" s="59">
        <v>58191006</v>
      </c>
      <c r="H269" s="57" t="s">
        <v>939</v>
      </c>
      <c r="I269" s="54" t="s">
        <v>546</v>
      </c>
    </row>
    <row r="270" spans="1:9" ht="15.75" thickBot="1">
      <c r="A270" s="55" t="s">
        <v>940</v>
      </c>
      <c r="B270" s="56" t="s">
        <v>293</v>
      </c>
      <c r="C270" s="57" t="s">
        <v>941</v>
      </c>
      <c r="D270" s="57" t="s">
        <v>942</v>
      </c>
      <c r="E270" s="58"/>
      <c r="F270" s="59">
        <v>3340000</v>
      </c>
      <c r="G270" s="59">
        <v>61531006</v>
      </c>
      <c r="H270" s="57" t="s">
        <v>942</v>
      </c>
      <c r="I270" s="54" t="s">
        <v>546</v>
      </c>
    </row>
    <row r="271" spans="1:9" ht="15.75" thickBot="1">
      <c r="A271" s="55" t="s">
        <v>943</v>
      </c>
      <c r="B271" s="56" t="s">
        <v>293</v>
      </c>
      <c r="C271" s="57" t="s">
        <v>944</v>
      </c>
      <c r="D271" s="57" t="s">
        <v>945</v>
      </c>
      <c r="E271" s="58"/>
      <c r="F271" s="59">
        <v>3560000</v>
      </c>
      <c r="G271" s="59">
        <v>65091006</v>
      </c>
      <c r="H271" s="57" t="s">
        <v>945</v>
      </c>
      <c r="I271" s="54" t="s">
        <v>546</v>
      </c>
    </row>
    <row r="272" spans="1:9" ht="15.75" thickBot="1">
      <c r="A272" s="55" t="s">
        <v>946</v>
      </c>
      <c r="B272" s="56" t="s">
        <v>293</v>
      </c>
      <c r="C272" s="57" t="s">
        <v>947</v>
      </c>
      <c r="D272" s="57" t="s">
        <v>948</v>
      </c>
      <c r="E272" s="58"/>
      <c r="F272" s="59">
        <v>3340000</v>
      </c>
      <c r="G272" s="59">
        <v>68431006</v>
      </c>
      <c r="H272" s="57" t="s">
        <v>948</v>
      </c>
      <c r="I272" s="54" t="s">
        <v>546</v>
      </c>
    </row>
    <row r="273" spans="1:9" ht="15.75" thickBot="1">
      <c r="A273" s="55" t="s">
        <v>949</v>
      </c>
      <c r="B273" s="56" t="s">
        <v>293</v>
      </c>
      <c r="C273" s="57" t="s">
        <v>950</v>
      </c>
      <c r="D273" s="57" t="s">
        <v>951</v>
      </c>
      <c r="E273" s="58"/>
      <c r="F273" s="59">
        <v>2590000</v>
      </c>
      <c r="G273" s="59">
        <v>71021006</v>
      </c>
      <c r="H273" s="57" t="s">
        <v>951</v>
      </c>
      <c r="I273" s="54" t="s">
        <v>546</v>
      </c>
    </row>
    <row r="274" spans="1:9" ht="15.75" thickBot="1">
      <c r="A274" s="55" t="s">
        <v>952</v>
      </c>
      <c r="B274" s="56" t="s">
        <v>293</v>
      </c>
      <c r="C274" s="57" t="s">
        <v>953</v>
      </c>
      <c r="D274" s="57" t="s">
        <v>954</v>
      </c>
      <c r="E274" s="58"/>
      <c r="F274" s="59">
        <v>4450000</v>
      </c>
      <c r="G274" s="59">
        <v>75471006</v>
      </c>
      <c r="H274" s="57" t="s">
        <v>954</v>
      </c>
      <c r="I274" s="54" t="s">
        <v>546</v>
      </c>
    </row>
    <row r="275" spans="1:9" ht="15.75" thickBot="1">
      <c r="A275" s="55" t="s">
        <v>955</v>
      </c>
      <c r="B275" s="56" t="s">
        <v>293</v>
      </c>
      <c r="C275" s="57" t="s">
        <v>956</v>
      </c>
      <c r="D275" s="57" t="s">
        <v>957</v>
      </c>
      <c r="E275" s="58"/>
      <c r="F275" s="59">
        <v>3350000</v>
      </c>
      <c r="G275" s="59">
        <v>78821006</v>
      </c>
      <c r="H275" s="57" t="s">
        <v>957</v>
      </c>
      <c r="I275" s="54" t="s">
        <v>546</v>
      </c>
    </row>
    <row r="276" spans="1:9" ht="15.75" thickBot="1">
      <c r="A276" s="55" t="s">
        <v>958</v>
      </c>
      <c r="B276" s="56" t="s">
        <v>293</v>
      </c>
      <c r="C276" s="57" t="s">
        <v>959</v>
      </c>
      <c r="D276" s="57" t="s">
        <v>960</v>
      </c>
      <c r="E276" s="58"/>
      <c r="F276" s="59">
        <v>2670000</v>
      </c>
      <c r="G276" s="59">
        <v>81491006</v>
      </c>
      <c r="H276" s="57" t="s">
        <v>960</v>
      </c>
      <c r="I276" s="54" t="s">
        <v>546</v>
      </c>
    </row>
    <row r="277" spans="1:9" ht="15.75" thickBot="1">
      <c r="A277" s="55" t="s">
        <v>961</v>
      </c>
      <c r="B277" s="56" t="s">
        <v>293</v>
      </c>
      <c r="C277" s="57" t="s">
        <v>962</v>
      </c>
      <c r="D277" s="57" t="s">
        <v>963</v>
      </c>
      <c r="E277" s="58"/>
      <c r="F277" s="59">
        <v>2460000</v>
      </c>
      <c r="G277" s="59">
        <v>83951006</v>
      </c>
      <c r="H277" s="57" t="s">
        <v>963</v>
      </c>
      <c r="I277" s="54" t="s">
        <v>546</v>
      </c>
    </row>
    <row r="278" spans="1:9" ht="15.75" thickBot="1">
      <c r="A278" s="55" t="s">
        <v>964</v>
      </c>
      <c r="B278" s="56" t="s">
        <v>293</v>
      </c>
      <c r="C278" s="57" t="s">
        <v>965</v>
      </c>
      <c r="D278" s="57" t="s">
        <v>966</v>
      </c>
      <c r="E278" s="58"/>
      <c r="F278" s="59">
        <v>2623000</v>
      </c>
      <c r="G278" s="59">
        <v>86574006</v>
      </c>
      <c r="H278" s="57" t="s">
        <v>966</v>
      </c>
      <c r="I278" s="54" t="s">
        <v>546</v>
      </c>
    </row>
    <row r="279" spans="1:9" ht="15.75" thickBot="1">
      <c r="A279" s="55" t="s">
        <v>967</v>
      </c>
      <c r="B279" s="56" t="s">
        <v>293</v>
      </c>
      <c r="C279" s="57" t="s">
        <v>968</v>
      </c>
      <c r="D279" s="57" t="s">
        <v>969</v>
      </c>
      <c r="E279" s="58"/>
      <c r="F279" s="59">
        <v>500000</v>
      </c>
      <c r="G279" s="59">
        <v>87074006</v>
      </c>
      <c r="H279" s="57" t="s">
        <v>969</v>
      </c>
      <c r="I279" s="54" t="s">
        <v>546</v>
      </c>
    </row>
    <row r="280" spans="1:9" ht="15.75" thickBot="1">
      <c r="A280" s="55" t="s">
        <v>970</v>
      </c>
      <c r="B280" s="56" t="s">
        <v>293</v>
      </c>
      <c r="C280" s="57" t="s">
        <v>971</v>
      </c>
      <c r="D280" s="57" t="s">
        <v>972</v>
      </c>
      <c r="E280" s="58"/>
      <c r="F280" s="59">
        <v>10560000</v>
      </c>
      <c r="G280" s="59">
        <v>97634006</v>
      </c>
      <c r="H280" s="57" t="s">
        <v>972</v>
      </c>
      <c r="I280" s="54" t="s">
        <v>546</v>
      </c>
    </row>
    <row r="281" spans="1:9" ht="15.75" thickBot="1">
      <c r="A281" s="55" t="s">
        <v>973</v>
      </c>
      <c r="B281" s="56" t="s">
        <v>293</v>
      </c>
      <c r="C281" s="57" t="s">
        <v>974</v>
      </c>
      <c r="D281" s="57" t="s">
        <v>975</v>
      </c>
      <c r="E281" s="58"/>
      <c r="F281" s="59">
        <v>1200000</v>
      </c>
      <c r="G281" s="59">
        <v>98834006</v>
      </c>
      <c r="H281" s="57" t="s">
        <v>975</v>
      </c>
      <c r="I281" s="54" t="s">
        <v>546</v>
      </c>
    </row>
    <row r="282" spans="1:9" ht="15.75" thickBot="1">
      <c r="A282" s="55" t="s">
        <v>976</v>
      </c>
      <c r="B282" s="56" t="s">
        <v>293</v>
      </c>
      <c r="C282" s="57" t="s">
        <v>977</v>
      </c>
      <c r="D282" s="57" t="s">
        <v>978</v>
      </c>
      <c r="E282" s="58"/>
      <c r="F282" s="59">
        <v>1200000</v>
      </c>
      <c r="G282" s="59">
        <v>100034006</v>
      </c>
      <c r="H282" s="57" t="s">
        <v>978</v>
      </c>
      <c r="I282" s="54" t="s">
        <v>546</v>
      </c>
    </row>
    <row r="283" spans="1:9" ht="15.75" thickBot="1">
      <c r="A283" s="55" t="s">
        <v>979</v>
      </c>
      <c r="B283" s="56" t="s">
        <v>293</v>
      </c>
      <c r="C283" s="57" t="s">
        <v>980</v>
      </c>
      <c r="D283" s="57" t="s">
        <v>981</v>
      </c>
      <c r="E283" s="58"/>
      <c r="F283" s="59">
        <v>500000</v>
      </c>
      <c r="G283" s="59">
        <v>100534006</v>
      </c>
      <c r="H283" s="57" t="s">
        <v>981</v>
      </c>
      <c r="I283" s="54" t="s">
        <v>546</v>
      </c>
    </row>
    <row r="284" spans="1:9" ht="15.75" thickBot="1">
      <c r="A284" s="55" t="s">
        <v>982</v>
      </c>
      <c r="B284" s="56" t="s">
        <v>293</v>
      </c>
      <c r="C284" s="57" t="s">
        <v>983</v>
      </c>
      <c r="D284" s="57" t="s">
        <v>984</v>
      </c>
      <c r="E284" s="58"/>
      <c r="F284" s="59">
        <v>3560000</v>
      </c>
      <c r="G284" s="59">
        <v>104094006</v>
      </c>
      <c r="H284" s="57" t="s">
        <v>984</v>
      </c>
      <c r="I284" s="54" t="s">
        <v>546</v>
      </c>
    </row>
    <row r="285" spans="1:9" ht="15.75" thickBot="1">
      <c r="A285" s="55" t="s">
        <v>985</v>
      </c>
      <c r="B285" s="56" t="s">
        <v>293</v>
      </c>
      <c r="C285" s="57" t="s">
        <v>986</v>
      </c>
      <c r="D285" s="57" t="s">
        <v>987</v>
      </c>
      <c r="E285" s="58"/>
      <c r="F285" s="59">
        <v>1500000</v>
      </c>
      <c r="G285" s="59">
        <v>105594006</v>
      </c>
      <c r="H285" s="57" t="s">
        <v>987</v>
      </c>
      <c r="I285" s="54" t="s">
        <v>546</v>
      </c>
    </row>
    <row r="286" spans="1:9" ht="15.75" thickBot="1">
      <c r="A286" s="55" t="s">
        <v>988</v>
      </c>
      <c r="B286" s="56" t="s">
        <v>293</v>
      </c>
      <c r="C286" s="57" t="s">
        <v>989</v>
      </c>
      <c r="D286" s="57" t="s">
        <v>990</v>
      </c>
      <c r="E286" s="58"/>
      <c r="F286" s="59">
        <v>2500000</v>
      </c>
      <c r="G286" s="59">
        <v>108094006</v>
      </c>
      <c r="H286" s="57" t="s">
        <v>990</v>
      </c>
      <c r="I286" s="54" t="s">
        <v>546</v>
      </c>
    </row>
    <row r="287" spans="1:9" ht="15.75" thickBot="1">
      <c r="A287" s="55" t="s">
        <v>991</v>
      </c>
      <c r="B287" s="56" t="s">
        <v>293</v>
      </c>
      <c r="C287" s="57" t="s">
        <v>992</v>
      </c>
      <c r="D287" s="57" t="s">
        <v>993</v>
      </c>
      <c r="E287" s="58"/>
      <c r="F287" s="59">
        <v>1000000</v>
      </c>
      <c r="G287" s="59">
        <v>109094006</v>
      </c>
      <c r="H287" s="57" t="s">
        <v>993</v>
      </c>
      <c r="I287" s="54" t="s">
        <v>546</v>
      </c>
    </row>
    <row r="288" spans="1:9" ht="15.75" thickBot="1">
      <c r="A288" s="55" t="s">
        <v>994</v>
      </c>
      <c r="B288" s="56" t="s">
        <v>293</v>
      </c>
      <c r="C288" s="57" t="s">
        <v>995</v>
      </c>
      <c r="D288" s="57" t="s">
        <v>996</v>
      </c>
      <c r="E288" s="58"/>
      <c r="F288" s="59">
        <v>1000000</v>
      </c>
      <c r="G288" s="59">
        <v>110094006</v>
      </c>
      <c r="H288" s="57" t="s">
        <v>996</v>
      </c>
      <c r="I288" s="54" t="s">
        <v>546</v>
      </c>
    </row>
    <row r="289" spans="1:9" ht="15.75" thickBot="1">
      <c r="A289" s="55" t="s">
        <v>997</v>
      </c>
      <c r="B289" s="56" t="s">
        <v>293</v>
      </c>
      <c r="C289" s="57" t="s">
        <v>998</v>
      </c>
      <c r="D289" s="57" t="s">
        <v>999</v>
      </c>
      <c r="E289" s="58"/>
      <c r="F289" s="59">
        <v>5340000</v>
      </c>
      <c r="G289" s="59">
        <v>115434006</v>
      </c>
      <c r="H289" s="57" t="s">
        <v>999</v>
      </c>
      <c r="I289" s="54" t="s">
        <v>546</v>
      </c>
    </row>
    <row r="290" spans="1:9" ht="15.75" thickBot="1">
      <c r="A290" s="55" t="s">
        <v>1000</v>
      </c>
      <c r="B290" s="56" t="s">
        <v>293</v>
      </c>
      <c r="C290" s="57" t="s">
        <v>1001</v>
      </c>
      <c r="D290" s="57" t="s">
        <v>1002</v>
      </c>
      <c r="E290" s="58"/>
      <c r="F290" s="59">
        <v>3460000</v>
      </c>
      <c r="G290" s="59">
        <v>118894006</v>
      </c>
      <c r="H290" s="57" t="s">
        <v>1002</v>
      </c>
      <c r="I290" s="54" t="s">
        <v>546</v>
      </c>
    </row>
    <row r="291" spans="1:9" ht="15.75" thickBot="1">
      <c r="A291" s="55" t="s">
        <v>1003</v>
      </c>
      <c r="B291" s="56" t="s">
        <v>293</v>
      </c>
      <c r="C291" s="57" t="s">
        <v>1004</v>
      </c>
      <c r="D291" s="57" t="s">
        <v>1005</v>
      </c>
      <c r="E291" s="58"/>
      <c r="F291" s="59">
        <v>2670000</v>
      </c>
      <c r="G291" s="59">
        <v>121564006</v>
      </c>
      <c r="H291" s="57" t="s">
        <v>1005</v>
      </c>
      <c r="I291" s="54" t="s">
        <v>546</v>
      </c>
    </row>
    <row r="292" spans="1:9" ht="15.75" thickBot="1">
      <c r="A292" s="55" t="s">
        <v>1006</v>
      </c>
      <c r="B292" s="56" t="s">
        <v>293</v>
      </c>
      <c r="C292" s="57" t="s">
        <v>1007</v>
      </c>
      <c r="D292" s="57" t="s">
        <v>1008</v>
      </c>
      <c r="E292" s="58"/>
      <c r="F292" s="59">
        <v>110000</v>
      </c>
      <c r="G292" s="59">
        <v>121674006</v>
      </c>
      <c r="H292" s="57" t="s">
        <v>1008</v>
      </c>
      <c r="I292" s="54" t="s">
        <v>546</v>
      </c>
    </row>
    <row r="293" spans="1:9" ht="15.75" thickBot="1">
      <c r="A293" s="55" t="s">
        <v>1009</v>
      </c>
      <c r="B293" s="56" t="s">
        <v>293</v>
      </c>
      <c r="C293" s="57" t="s">
        <v>1010</v>
      </c>
      <c r="D293" s="57" t="s">
        <v>1011</v>
      </c>
      <c r="E293" s="58"/>
      <c r="F293" s="59">
        <v>2930000</v>
      </c>
      <c r="G293" s="59">
        <v>124604006</v>
      </c>
      <c r="H293" s="57" t="s">
        <v>1011</v>
      </c>
      <c r="I293" s="54" t="s">
        <v>546</v>
      </c>
    </row>
    <row r="294" spans="1:9" ht="15.75" thickBot="1">
      <c r="A294" s="55" t="s">
        <v>1012</v>
      </c>
      <c r="B294" s="56" t="s">
        <v>293</v>
      </c>
      <c r="C294" s="57" t="s">
        <v>1013</v>
      </c>
      <c r="D294" s="57" t="s">
        <v>1014</v>
      </c>
      <c r="E294" s="58"/>
      <c r="F294" s="59">
        <v>2000000</v>
      </c>
      <c r="G294" s="59">
        <v>126604006</v>
      </c>
      <c r="H294" s="57" t="s">
        <v>1014</v>
      </c>
      <c r="I294" s="54" t="s">
        <v>546</v>
      </c>
    </row>
    <row r="295" spans="1:9" ht="15.75" thickBot="1">
      <c r="A295" s="55" t="s">
        <v>1015</v>
      </c>
      <c r="B295" s="56" t="s">
        <v>293</v>
      </c>
      <c r="C295" s="57" t="s">
        <v>1016</v>
      </c>
      <c r="D295" s="57" t="s">
        <v>1017</v>
      </c>
      <c r="E295" s="58"/>
      <c r="F295" s="59">
        <v>1900000</v>
      </c>
      <c r="G295" s="59">
        <v>128504006</v>
      </c>
      <c r="H295" s="57" t="s">
        <v>1017</v>
      </c>
      <c r="I295" s="54" t="s">
        <v>546</v>
      </c>
    </row>
    <row r="296" spans="1:9" ht="15.75" thickBot="1">
      <c r="A296" s="55" t="s">
        <v>1018</v>
      </c>
      <c r="B296" s="56" t="s">
        <v>293</v>
      </c>
      <c r="C296" s="57" t="s">
        <v>1019</v>
      </c>
      <c r="D296" s="57" t="s">
        <v>1020</v>
      </c>
      <c r="E296" s="58"/>
      <c r="F296" s="59">
        <v>570000</v>
      </c>
      <c r="G296" s="59">
        <v>129074006</v>
      </c>
      <c r="H296" s="57" t="s">
        <v>1020</v>
      </c>
      <c r="I296" s="54" t="s">
        <v>546</v>
      </c>
    </row>
    <row r="297" spans="1:9" ht="15.75" thickBot="1">
      <c r="A297" s="55" t="s">
        <v>1021</v>
      </c>
      <c r="B297" s="56" t="s">
        <v>293</v>
      </c>
      <c r="C297" s="57" t="s">
        <v>1022</v>
      </c>
      <c r="D297" s="57" t="s">
        <v>1023</v>
      </c>
      <c r="E297" s="58"/>
      <c r="F297" s="59">
        <v>1360000</v>
      </c>
      <c r="G297" s="59">
        <v>130434006</v>
      </c>
      <c r="H297" s="57" t="s">
        <v>1023</v>
      </c>
      <c r="I297" s="54" t="s">
        <v>546</v>
      </c>
    </row>
    <row r="298" spans="1:9" ht="15.75" thickBot="1">
      <c r="A298" s="55" t="s">
        <v>1024</v>
      </c>
      <c r="B298" s="56" t="s">
        <v>293</v>
      </c>
      <c r="C298" s="57" t="s">
        <v>1025</v>
      </c>
      <c r="D298" s="57" t="s">
        <v>1026</v>
      </c>
      <c r="E298" s="58"/>
      <c r="F298" s="59">
        <v>6040000</v>
      </c>
      <c r="G298" s="59">
        <v>136474006</v>
      </c>
      <c r="H298" s="57" t="s">
        <v>1026</v>
      </c>
      <c r="I298" s="54" t="s">
        <v>546</v>
      </c>
    </row>
    <row r="299" spans="1:9" ht="15.75" thickBot="1">
      <c r="A299" s="55" t="s">
        <v>1027</v>
      </c>
      <c r="B299" s="56" t="s">
        <v>293</v>
      </c>
      <c r="C299" s="57" t="s">
        <v>1028</v>
      </c>
      <c r="D299" s="57" t="s">
        <v>1029</v>
      </c>
      <c r="E299" s="58"/>
      <c r="F299" s="59">
        <v>700000</v>
      </c>
      <c r="G299" s="59">
        <v>137174006</v>
      </c>
      <c r="H299" s="57" t="s">
        <v>1029</v>
      </c>
      <c r="I299" s="54" t="s">
        <v>546</v>
      </c>
    </row>
    <row r="300" spans="1:9" ht="15.75" thickBot="1">
      <c r="A300" s="55" t="s">
        <v>1030</v>
      </c>
      <c r="B300" s="56" t="s">
        <v>293</v>
      </c>
      <c r="C300" s="57" t="s">
        <v>1031</v>
      </c>
      <c r="D300" s="57" t="s">
        <v>1032</v>
      </c>
      <c r="E300" s="58"/>
      <c r="F300" s="59">
        <v>4080000</v>
      </c>
      <c r="G300" s="59">
        <v>141254006</v>
      </c>
      <c r="H300" s="57" t="s">
        <v>1032</v>
      </c>
      <c r="I300" s="54" t="s">
        <v>546</v>
      </c>
    </row>
    <row r="301" spans="1:9" ht="15.75" thickBot="1">
      <c r="A301" s="55" t="s">
        <v>1033</v>
      </c>
      <c r="B301" s="56" t="s">
        <v>293</v>
      </c>
      <c r="C301" s="57" t="s">
        <v>1034</v>
      </c>
      <c r="D301" s="57" t="s">
        <v>1035</v>
      </c>
      <c r="E301" s="58"/>
      <c r="F301" s="59">
        <v>500000</v>
      </c>
      <c r="G301" s="59">
        <v>141754006</v>
      </c>
      <c r="H301" s="57" t="s">
        <v>1035</v>
      </c>
      <c r="I301" s="54" t="s">
        <v>546</v>
      </c>
    </row>
    <row r="302" spans="1:9" ht="15.75" thickBot="1">
      <c r="A302" s="55" t="s">
        <v>1036</v>
      </c>
      <c r="B302" s="56" t="s">
        <v>293</v>
      </c>
      <c r="C302" s="57" t="s">
        <v>1037</v>
      </c>
      <c r="D302" s="57" t="s">
        <v>1038</v>
      </c>
      <c r="E302" s="58"/>
      <c r="F302" s="59">
        <v>500000</v>
      </c>
      <c r="G302" s="59">
        <v>142254006</v>
      </c>
      <c r="H302" s="57" t="s">
        <v>1038</v>
      </c>
      <c r="I302" s="54" t="s">
        <v>546</v>
      </c>
    </row>
    <row r="303" spans="1:9" ht="15.75" thickBot="1">
      <c r="A303" s="55" t="s">
        <v>1039</v>
      </c>
      <c r="B303" s="56" t="s">
        <v>293</v>
      </c>
      <c r="C303" s="57" t="s">
        <v>1040</v>
      </c>
      <c r="D303" s="57" t="s">
        <v>1041</v>
      </c>
      <c r="E303" s="58"/>
      <c r="F303" s="59">
        <v>7340000</v>
      </c>
      <c r="G303" s="59">
        <v>149594006</v>
      </c>
      <c r="H303" s="57" t="s">
        <v>1041</v>
      </c>
      <c r="I303" s="54" t="s">
        <v>546</v>
      </c>
    </row>
    <row r="304" spans="1:9" ht="15.75" thickBot="1">
      <c r="A304" s="55" t="s">
        <v>1042</v>
      </c>
      <c r="B304" s="56" t="s">
        <v>293</v>
      </c>
      <c r="C304" s="57" t="s">
        <v>1043</v>
      </c>
      <c r="D304" s="57" t="s">
        <v>1044</v>
      </c>
      <c r="E304" s="58"/>
      <c r="F304" s="59">
        <v>4500000</v>
      </c>
      <c r="G304" s="59">
        <v>154094006</v>
      </c>
      <c r="H304" s="57" t="s">
        <v>1044</v>
      </c>
      <c r="I304" s="54" t="s">
        <v>546</v>
      </c>
    </row>
    <row r="305" spans="1:9" ht="15.75" thickBot="1">
      <c r="A305" s="55" t="s">
        <v>1045</v>
      </c>
      <c r="B305" s="56" t="s">
        <v>293</v>
      </c>
      <c r="C305" s="57" t="s">
        <v>1046</v>
      </c>
      <c r="D305" s="57" t="s">
        <v>1047</v>
      </c>
      <c r="E305" s="58"/>
      <c r="F305" s="59">
        <v>2000000</v>
      </c>
      <c r="G305" s="59">
        <v>156094006</v>
      </c>
      <c r="H305" s="57" t="s">
        <v>1047</v>
      </c>
      <c r="I305" s="54" t="s">
        <v>546</v>
      </c>
    </row>
    <row r="306" spans="1:9" ht="15.75" thickBot="1">
      <c r="A306" s="55" t="s">
        <v>1048</v>
      </c>
      <c r="B306" s="56" t="s">
        <v>293</v>
      </c>
      <c r="C306" s="57" t="s">
        <v>1049</v>
      </c>
      <c r="D306" s="57" t="s">
        <v>1050</v>
      </c>
      <c r="E306" s="58"/>
      <c r="F306" s="59">
        <v>3560000</v>
      </c>
      <c r="G306" s="59">
        <v>159654006</v>
      </c>
      <c r="H306" s="57" t="s">
        <v>1050</v>
      </c>
      <c r="I306" s="54" t="s">
        <v>546</v>
      </c>
    </row>
    <row r="307" spans="1:9" ht="15.75" thickBot="1">
      <c r="A307" s="55" t="s">
        <v>1051</v>
      </c>
      <c r="B307" s="56" t="s">
        <v>293</v>
      </c>
      <c r="C307" s="57" t="s">
        <v>1052</v>
      </c>
      <c r="D307" s="57" t="s">
        <v>1053</v>
      </c>
      <c r="E307" s="58"/>
      <c r="F307" s="59">
        <v>2000000</v>
      </c>
      <c r="G307" s="59">
        <v>161654006</v>
      </c>
      <c r="H307" s="57" t="s">
        <v>1053</v>
      </c>
      <c r="I307" s="54" t="s">
        <v>546</v>
      </c>
    </row>
    <row r="308" spans="1:9" ht="15.75" thickBot="1">
      <c r="A308" s="55" t="s">
        <v>1054</v>
      </c>
      <c r="B308" s="56" t="s">
        <v>293</v>
      </c>
      <c r="C308" s="57" t="s">
        <v>1055</v>
      </c>
      <c r="D308" s="57" t="s">
        <v>1056</v>
      </c>
      <c r="E308" s="58"/>
      <c r="F308" s="59">
        <v>2500000</v>
      </c>
      <c r="G308" s="59">
        <v>164154006</v>
      </c>
      <c r="H308" s="57" t="s">
        <v>1056</v>
      </c>
      <c r="I308" s="54" t="s">
        <v>546</v>
      </c>
    </row>
    <row r="309" spans="1:9" ht="15.75" thickBot="1">
      <c r="A309" s="55" t="s">
        <v>1057</v>
      </c>
      <c r="B309" s="56" t="s">
        <v>293</v>
      </c>
      <c r="C309" s="57" t="s">
        <v>1058</v>
      </c>
      <c r="D309" s="57" t="s">
        <v>1059</v>
      </c>
      <c r="E309" s="58"/>
      <c r="F309" s="59">
        <v>1950000</v>
      </c>
      <c r="G309" s="59">
        <v>166104006</v>
      </c>
      <c r="H309" s="57" t="s">
        <v>1059</v>
      </c>
      <c r="I309" s="54" t="s">
        <v>546</v>
      </c>
    </row>
    <row r="310" spans="1:9" ht="15.75" thickBot="1">
      <c r="A310" s="55" t="s">
        <v>1060</v>
      </c>
      <c r="B310" s="56" t="s">
        <v>293</v>
      </c>
      <c r="C310" s="57" t="s">
        <v>1061</v>
      </c>
      <c r="D310" s="57" t="s">
        <v>1062</v>
      </c>
      <c r="E310" s="58"/>
      <c r="F310" s="59">
        <v>7120000</v>
      </c>
      <c r="G310" s="59">
        <v>173224006</v>
      </c>
      <c r="H310" s="57" t="s">
        <v>1062</v>
      </c>
      <c r="I310" s="54" t="s">
        <v>546</v>
      </c>
    </row>
    <row r="311" spans="1:9" ht="15.75" thickBot="1">
      <c r="A311" s="55" t="s">
        <v>1063</v>
      </c>
      <c r="B311" s="56" t="s">
        <v>293</v>
      </c>
      <c r="C311" s="57" t="s">
        <v>1064</v>
      </c>
      <c r="D311" s="57" t="s">
        <v>1065</v>
      </c>
      <c r="E311" s="58"/>
      <c r="F311" s="59">
        <v>2500000</v>
      </c>
      <c r="G311" s="59">
        <v>175724006</v>
      </c>
      <c r="H311" s="57" t="s">
        <v>1065</v>
      </c>
      <c r="I311" s="54" t="s">
        <v>546</v>
      </c>
    </row>
    <row r="312" spans="1:9" ht="15.75" thickBot="1">
      <c r="A312" s="55" t="s">
        <v>1066</v>
      </c>
      <c r="B312" s="56" t="s">
        <v>293</v>
      </c>
      <c r="C312" s="57" t="s">
        <v>1067</v>
      </c>
      <c r="D312" s="57" t="s">
        <v>1068</v>
      </c>
      <c r="E312" s="58"/>
      <c r="F312" s="59">
        <v>3690000</v>
      </c>
      <c r="G312" s="59">
        <v>179414006</v>
      </c>
      <c r="H312" s="57" t="s">
        <v>1068</v>
      </c>
      <c r="I312" s="54" t="s">
        <v>546</v>
      </c>
    </row>
    <row r="313" spans="1:9" ht="15.75" thickBot="1">
      <c r="A313" s="55" t="s">
        <v>1069</v>
      </c>
      <c r="B313" s="56" t="s">
        <v>293</v>
      </c>
      <c r="C313" s="57" t="s">
        <v>1070</v>
      </c>
      <c r="D313" s="57" t="s">
        <v>1071</v>
      </c>
      <c r="E313" s="58"/>
      <c r="F313" s="59">
        <v>300000</v>
      </c>
      <c r="G313" s="59">
        <v>179714006</v>
      </c>
      <c r="H313" s="57" t="s">
        <v>1071</v>
      </c>
      <c r="I313" s="54" t="s">
        <v>546</v>
      </c>
    </row>
    <row r="314" spans="1:9" ht="15.75" thickBot="1">
      <c r="A314" s="55" t="s">
        <v>1072</v>
      </c>
      <c r="B314" s="56" t="s">
        <v>293</v>
      </c>
      <c r="C314" s="57" t="s">
        <v>1073</v>
      </c>
      <c r="D314" s="57" t="s">
        <v>1074</v>
      </c>
      <c r="E314" s="58"/>
      <c r="F314" s="59">
        <v>5570000</v>
      </c>
      <c r="G314" s="59">
        <v>185284006</v>
      </c>
      <c r="H314" s="57" t="s">
        <v>1074</v>
      </c>
      <c r="I314" s="54" t="s">
        <v>546</v>
      </c>
    </row>
    <row r="315" spans="1:9" ht="15.75" thickBot="1">
      <c r="A315" s="55" t="s">
        <v>1075</v>
      </c>
      <c r="B315" s="56" t="s">
        <v>293</v>
      </c>
      <c r="C315" s="57" t="s">
        <v>1076</v>
      </c>
      <c r="D315" s="57" t="s">
        <v>1077</v>
      </c>
      <c r="E315" s="58"/>
      <c r="F315" s="59">
        <v>9334000</v>
      </c>
      <c r="G315" s="59">
        <v>194618006</v>
      </c>
      <c r="H315" s="57" t="s">
        <v>1077</v>
      </c>
      <c r="I315" s="54" t="s">
        <v>546</v>
      </c>
    </row>
    <row r="316" spans="1:9" ht="15.75" thickBot="1">
      <c r="A316" s="55" t="s">
        <v>1078</v>
      </c>
      <c r="B316" s="56" t="s">
        <v>293</v>
      </c>
      <c r="C316" s="57" t="s">
        <v>1079</v>
      </c>
      <c r="D316" s="57" t="s">
        <v>1080</v>
      </c>
      <c r="E316" s="58"/>
      <c r="F316" s="59">
        <v>3400000</v>
      </c>
      <c r="G316" s="59">
        <v>198018006</v>
      </c>
      <c r="H316" s="57" t="s">
        <v>1080</v>
      </c>
      <c r="I316" s="54" t="s">
        <v>546</v>
      </c>
    </row>
    <row r="317" spans="1:9" ht="15.75" thickBot="1">
      <c r="A317" s="55" t="s">
        <v>1081</v>
      </c>
      <c r="B317" s="56" t="s">
        <v>293</v>
      </c>
      <c r="C317" s="57" t="s">
        <v>1082</v>
      </c>
      <c r="D317" s="57" t="s">
        <v>1083</v>
      </c>
      <c r="E317" s="58"/>
      <c r="F317" s="59">
        <v>1560000</v>
      </c>
      <c r="G317" s="59">
        <v>199578006</v>
      </c>
      <c r="H317" s="57" t="s">
        <v>1083</v>
      </c>
      <c r="I317" s="54" t="s">
        <v>546</v>
      </c>
    </row>
    <row r="318" spans="1:9" ht="15.75" thickBot="1">
      <c r="A318" s="55" t="s">
        <v>1084</v>
      </c>
      <c r="B318" s="56" t="s">
        <v>293</v>
      </c>
      <c r="C318" s="57" t="s">
        <v>1085</v>
      </c>
      <c r="D318" s="57" t="s">
        <v>1086</v>
      </c>
      <c r="E318" s="58"/>
      <c r="F318" s="59">
        <v>2000000</v>
      </c>
      <c r="G318" s="59">
        <v>201578006</v>
      </c>
      <c r="H318" s="57" t="s">
        <v>1086</v>
      </c>
      <c r="I318" s="54" t="s">
        <v>546</v>
      </c>
    </row>
    <row r="319" spans="1:9" ht="15.75" thickBot="1">
      <c r="A319" s="55" t="s">
        <v>1087</v>
      </c>
      <c r="B319" s="56" t="s">
        <v>293</v>
      </c>
      <c r="C319" s="57" t="s">
        <v>1088</v>
      </c>
      <c r="D319" s="57" t="s">
        <v>1089</v>
      </c>
      <c r="E319" s="58"/>
      <c r="F319" s="59">
        <v>2450000</v>
      </c>
      <c r="G319" s="59">
        <v>204028006</v>
      </c>
      <c r="H319" s="57" t="s">
        <v>1089</v>
      </c>
      <c r="I319" s="54" t="s">
        <v>546</v>
      </c>
    </row>
    <row r="320" spans="1:9" ht="15.75" thickBot="1">
      <c r="A320" s="55" t="s">
        <v>1090</v>
      </c>
      <c r="B320" s="56" t="s">
        <v>293</v>
      </c>
      <c r="C320" s="57" t="s">
        <v>1091</v>
      </c>
      <c r="D320" s="57" t="s">
        <v>1092</v>
      </c>
      <c r="E320" s="58"/>
      <c r="F320" s="59">
        <v>1800000</v>
      </c>
      <c r="G320" s="59">
        <v>205828006</v>
      </c>
      <c r="H320" s="57" t="s">
        <v>1092</v>
      </c>
      <c r="I320" s="54" t="s">
        <v>546</v>
      </c>
    </row>
    <row r="321" spans="1:9" ht="15.75" thickBot="1">
      <c r="A321" s="55" t="s">
        <v>1093</v>
      </c>
      <c r="B321" s="56" t="s">
        <v>293</v>
      </c>
      <c r="C321" s="57" t="s">
        <v>1094</v>
      </c>
      <c r="D321" s="57" t="s">
        <v>1095</v>
      </c>
      <c r="E321" s="58"/>
      <c r="F321" s="59">
        <v>4174000</v>
      </c>
      <c r="G321" s="59">
        <v>210002006</v>
      </c>
      <c r="H321" s="57" t="s">
        <v>1095</v>
      </c>
      <c r="I321" s="54" t="s">
        <v>546</v>
      </c>
    </row>
    <row r="322" spans="1:9" ht="15.75" thickBot="1">
      <c r="A322" s="55" t="s">
        <v>1096</v>
      </c>
      <c r="B322" s="56" t="s">
        <v>293</v>
      </c>
      <c r="C322" s="57" t="s">
        <v>1097</v>
      </c>
      <c r="D322" s="57" t="s">
        <v>1098</v>
      </c>
      <c r="E322" s="58"/>
      <c r="F322" s="59">
        <v>1770000</v>
      </c>
      <c r="G322" s="59">
        <v>211772006</v>
      </c>
      <c r="H322" s="57" t="s">
        <v>1098</v>
      </c>
      <c r="I322" s="54" t="s">
        <v>546</v>
      </c>
    </row>
    <row r="323" spans="1:9" ht="15.75" thickBot="1">
      <c r="A323" s="55" t="s">
        <v>1099</v>
      </c>
      <c r="B323" s="56" t="s">
        <v>293</v>
      </c>
      <c r="C323" s="57" t="s">
        <v>1100</v>
      </c>
      <c r="D323" s="57" t="s">
        <v>1101</v>
      </c>
      <c r="E323" s="58"/>
      <c r="F323" s="59">
        <v>5570000</v>
      </c>
      <c r="G323" s="59">
        <v>217342006</v>
      </c>
      <c r="H323" s="57" t="s">
        <v>1101</v>
      </c>
      <c r="I323" s="54" t="s">
        <v>546</v>
      </c>
    </row>
    <row r="324" spans="1:9" ht="15.75" thickBot="1">
      <c r="A324" s="55" t="s">
        <v>1102</v>
      </c>
      <c r="B324" s="56" t="s">
        <v>293</v>
      </c>
      <c r="C324" s="57" t="s">
        <v>1103</v>
      </c>
      <c r="D324" s="57" t="s">
        <v>1104</v>
      </c>
      <c r="E324" s="58"/>
      <c r="F324" s="59">
        <v>2500000</v>
      </c>
      <c r="G324" s="59">
        <v>219842006</v>
      </c>
      <c r="H324" s="57" t="s">
        <v>1104</v>
      </c>
      <c r="I324" s="54" t="s">
        <v>546</v>
      </c>
    </row>
    <row r="325" spans="1:9" ht="15.75" thickBot="1">
      <c r="A325" s="55" t="s">
        <v>1105</v>
      </c>
      <c r="B325" s="56" t="s">
        <v>293</v>
      </c>
      <c r="C325" s="57" t="s">
        <v>1106</v>
      </c>
      <c r="D325" s="57" t="s">
        <v>1107</v>
      </c>
      <c r="E325" s="58"/>
      <c r="F325" s="59">
        <v>2670000</v>
      </c>
      <c r="G325" s="59">
        <v>222512006</v>
      </c>
      <c r="H325" s="57" t="s">
        <v>1107</v>
      </c>
      <c r="I325" s="54" t="s">
        <v>546</v>
      </c>
    </row>
    <row r="326" spans="1:9" ht="15.75" thickBot="1">
      <c r="A326" s="55" t="s">
        <v>1108</v>
      </c>
      <c r="B326" s="56" t="s">
        <v>293</v>
      </c>
      <c r="C326" s="57" t="s">
        <v>1109</v>
      </c>
      <c r="D326" s="57" t="s">
        <v>1110</v>
      </c>
      <c r="E326" s="58"/>
      <c r="F326" s="59">
        <v>1000000</v>
      </c>
      <c r="G326" s="59">
        <v>223512006</v>
      </c>
      <c r="H326" s="57" t="s">
        <v>1110</v>
      </c>
      <c r="I326" s="54" t="s">
        <v>546</v>
      </c>
    </row>
    <row r="327" spans="1:9" ht="15.75" thickBot="1">
      <c r="A327" s="55" t="s">
        <v>1111</v>
      </c>
      <c r="B327" s="56" t="s">
        <v>293</v>
      </c>
      <c r="C327" s="57" t="s">
        <v>1112</v>
      </c>
      <c r="D327" s="57" t="s">
        <v>1113</v>
      </c>
      <c r="E327" s="58"/>
      <c r="F327" s="59">
        <v>5340000</v>
      </c>
      <c r="G327" s="59">
        <v>228852006</v>
      </c>
      <c r="H327" s="57" t="s">
        <v>1113</v>
      </c>
      <c r="I327" s="54" t="s">
        <v>546</v>
      </c>
    </row>
    <row r="328" spans="1:9" ht="15.75" thickBot="1">
      <c r="A328" s="55" t="s">
        <v>1114</v>
      </c>
      <c r="B328" s="56" t="s">
        <v>293</v>
      </c>
      <c r="C328" s="57" t="s">
        <v>1115</v>
      </c>
      <c r="D328" s="57" t="s">
        <v>1116</v>
      </c>
      <c r="E328" s="58"/>
      <c r="F328" s="59">
        <v>2000000</v>
      </c>
      <c r="G328" s="59">
        <v>230852006</v>
      </c>
      <c r="H328" s="57" t="s">
        <v>1116</v>
      </c>
      <c r="I328" s="54" t="s">
        <v>546</v>
      </c>
    </row>
    <row r="329" spans="1:9" ht="15.75" thickBot="1">
      <c r="A329" s="55" t="s">
        <v>1117</v>
      </c>
      <c r="B329" s="56" t="s">
        <v>293</v>
      </c>
      <c r="C329" s="57" t="s">
        <v>1118</v>
      </c>
      <c r="D329" s="57" t="s">
        <v>1119</v>
      </c>
      <c r="E329" s="58"/>
      <c r="F329" s="59">
        <v>2000000</v>
      </c>
      <c r="G329" s="59">
        <v>232852006</v>
      </c>
      <c r="H329" s="57" t="s">
        <v>1119</v>
      </c>
      <c r="I329" s="54" t="s">
        <v>546</v>
      </c>
    </row>
    <row r="330" spans="1:9" ht="15.75" thickBot="1">
      <c r="A330" s="55" t="s">
        <v>1120</v>
      </c>
      <c r="B330" s="56" t="s">
        <v>293</v>
      </c>
      <c r="C330" s="57" t="s">
        <v>1121</v>
      </c>
      <c r="D330" s="57" t="s">
        <v>1122</v>
      </c>
      <c r="E330" s="58"/>
      <c r="F330" s="59">
        <v>3560000</v>
      </c>
      <c r="G330" s="59">
        <v>236412006</v>
      </c>
      <c r="H330" s="57" t="s">
        <v>1122</v>
      </c>
      <c r="I330" s="54" t="s">
        <v>546</v>
      </c>
    </row>
    <row r="331" spans="1:9" ht="15.75" thickBot="1">
      <c r="A331" s="55" t="s">
        <v>1123</v>
      </c>
      <c r="B331" s="56" t="s">
        <v>293</v>
      </c>
      <c r="C331" s="57" t="s">
        <v>1124</v>
      </c>
      <c r="D331" s="57" t="s">
        <v>1125</v>
      </c>
      <c r="E331" s="58"/>
      <c r="F331" s="59">
        <v>2880000</v>
      </c>
      <c r="G331" s="59">
        <v>239292006</v>
      </c>
      <c r="H331" s="57" t="s">
        <v>1125</v>
      </c>
      <c r="I331" s="54" t="s">
        <v>546</v>
      </c>
    </row>
    <row r="332" spans="1:9" ht="15.75" thickBot="1">
      <c r="A332" s="55" t="s">
        <v>1126</v>
      </c>
      <c r="B332" s="56" t="s">
        <v>293</v>
      </c>
      <c r="C332" s="57" t="s">
        <v>1127</v>
      </c>
      <c r="D332" s="57" t="s">
        <v>1128</v>
      </c>
      <c r="E332" s="58"/>
      <c r="F332" s="59">
        <v>3560000</v>
      </c>
      <c r="G332" s="59">
        <v>242852006</v>
      </c>
      <c r="H332" s="57" t="s">
        <v>1128</v>
      </c>
      <c r="I332" s="54" t="s">
        <v>546</v>
      </c>
    </row>
    <row r="333" spans="1:9" ht="15.75" thickBot="1">
      <c r="A333" s="55" t="s">
        <v>1129</v>
      </c>
      <c r="B333" s="56" t="s">
        <v>293</v>
      </c>
      <c r="C333" s="57" t="s">
        <v>1130</v>
      </c>
      <c r="D333" s="57" t="s">
        <v>1131</v>
      </c>
      <c r="E333" s="60">
        <v>150000000</v>
      </c>
      <c r="F333" s="58"/>
      <c r="G333" s="59">
        <v>92852006</v>
      </c>
      <c r="H333" s="57" t="s">
        <v>1131</v>
      </c>
      <c r="I333" s="54" t="s">
        <v>546</v>
      </c>
    </row>
    <row r="334" spans="1:9" ht="15.75" thickBot="1">
      <c r="A334" s="55" t="s">
        <v>1132</v>
      </c>
      <c r="B334" s="56" t="s">
        <v>293</v>
      </c>
      <c r="C334" s="57" t="s">
        <v>1133</v>
      </c>
      <c r="D334" s="57" t="s">
        <v>1134</v>
      </c>
      <c r="E334" s="58"/>
      <c r="F334" s="59">
        <v>3560000</v>
      </c>
      <c r="G334" s="59">
        <v>96412006</v>
      </c>
      <c r="H334" s="57" t="s">
        <v>1134</v>
      </c>
      <c r="I334" s="54" t="s">
        <v>546</v>
      </c>
    </row>
    <row r="335" spans="1:9" ht="15.75" thickBot="1">
      <c r="A335" s="55" t="s">
        <v>1135</v>
      </c>
      <c r="B335" s="56" t="s">
        <v>293</v>
      </c>
      <c r="C335" s="57" t="s">
        <v>1136</v>
      </c>
      <c r="D335" s="57" t="s">
        <v>1137</v>
      </c>
      <c r="E335" s="58"/>
      <c r="F335" s="59">
        <v>1840000</v>
      </c>
      <c r="G335" s="59">
        <v>98252006</v>
      </c>
      <c r="H335" s="57" t="s">
        <v>1137</v>
      </c>
      <c r="I335" s="54" t="s">
        <v>546</v>
      </c>
    </row>
    <row r="336" spans="1:9" ht="15.75" thickBot="1">
      <c r="A336" s="55" t="s">
        <v>1138</v>
      </c>
      <c r="B336" s="56" t="s">
        <v>293</v>
      </c>
      <c r="C336" s="57" t="s">
        <v>1139</v>
      </c>
      <c r="D336" s="57" t="s">
        <v>1140</v>
      </c>
      <c r="E336" s="58"/>
      <c r="F336" s="59">
        <v>3690000</v>
      </c>
      <c r="G336" s="59">
        <v>101942006</v>
      </c>
      <c r="H336" s="57" t="s">
        <v>1140</v>
      </c>
      <c r="I336" s="54" t="s">
        <v>546</v>
      </c>
    </row>
    <row r="337" spans="1:9" ht="15.75" thickBot="1">
      <c r="A337" s="55" t="s">
        <v>1141</v>
      </c>
      <c r="B337" s="56" t="s">
        <v>293</v>
      </c>
      <c r="C337" s="57" t="s">
        <v>1142</v>
      </c>
      <c r="D337" s="57" t="s">
        <v>1143</v>
      </c>
      <c r="E337" s="58"/>
      <c r="F337" s="59">
        <v>2670000</v>
      </c>
      <c r="G337" s="59">
        <v>104612006</v>
      </c>
      <c r="H337" s="57" t="s">
        <v>1143</v>
      </c>
      <c r="I337" s="54" t="s">
        <v>546</v>
      </c>
    </row>
    <row r="338" spans="1:9" ht="15.75" thickBot="1">
      <c r="A338" s="55" t="s">
        <v>1144</v>
      </c>
      <c r="B338" s="56" t="s">
        <v>293</v>
      </c>
      <c r="C338" s="57" t="s">
        <v>1145</v>
      </c>
      <c r="D338" s="57" t="s">
        <v>1146</v>
      </c>
      <c r="E338" s="58"/>
      <c r="F338" s="59">
        <v>1390000</v>
      </c>
      <c r="G338" s="59">
        <v>106002006</v>
      </c>
      <c r="H338" s="57" t="s">
        <v>1146</v>
      </c>
      <c r="I338" s="54" t="s">
        <v>546</v>
      </c>
    </row>
    <row r="339" spans="1:9" ht="15.75" thickBot="1">
      <c r="A339" s="55" t="s">
        <v>1147</v>
      </c>
      <c r="B339" s="56" t="s">
        <v>293</v>
      </c>
      <c r="C339" s="57" t="s">
        <v>1148</v>
      </c>
      <c r="D339" s="57" t="s">
        <v>1149</v>
      </c>
      <c r="E339" s="58"/>
      <c r="F339" s="59">
        <v>4800000</v>
      </c>
      <c r="G339" s="59">
        <v>110802006</v>
      </c>
      <c r="H339" s="57" t="s">
        <v>1149</v>
      </c>
      <c r="I339" s="54" t="s">
        <v>546</v>
      </c>
    </row>
    <row r="340" spans="1:9" ht="15.75" thickBot="1">
      <c r="A340" s="55" t="s">
        <v>1150</v>
      </c>
      <c r="B340" s="56" t="s">
        <v>293</v>
      </c>
      <c r="C340" s="57" t="s">
        <v>1151</v>
      </c>
      <c r="D340" s="57" t="s">
        <v>1152</v>
      </c>
      <c r="E340" s="58"/>
      <c r="F340" s="59">
        <v>1450000</v>
      </c>
      <c r="G340" s="59">
        <v>112252006</v>
      </c>
      <c r="H340" s="57" t="s">
        <v>1152</v>
      </c>
      <c r="I340" s="54" t="s">
        <v>546</v>
      </c>
    </row>
    <row r="341" spans="1:9" ht="15.75" thickBot="1">
      <c r="A341" s="55" t="s">
        <v>1153</v>
      </c>
      <c r="B341" s="56" t="s">
        <v>293</v>
      </c>
      <c r="C341" s="57" t="s">
        <v>1154</v>
      </c>
      <c r="D341" s="57" t="s">
        <v>1155</v>
      </c>
      <c r="E341" s="58"/>
      <c r="F341" s="59">
        <v>4500000</v>
      </c>
      <c r="G341" s="59">
        <v>116752006</v>
      </c>
      <c r="H341" s="57" t="s">
        <v>1155</v>
      </c>
      <c r="I341" s="54" t="s">
        <v>546</v>
      </c>
    </row>
    <row r="342" spans="1:9" ht="15.75" thickBot="1">
      <c r="A342" s="55" t="s">
        <v>1156</v>
      </c>
      <c r="B342" s="56" t="s">
        <v>293</v>
      </c>
      <c r="C342" s="57" t="s">
        <v>1157</v>
      </c>
      <c r="D342" s="57" t="s">
        <v>1158</v>
      </c>
      <c r="E342" s="58"/>
      <c r="F342" s="59">
        <v>3600000</v>
      </c>
      <c r="G342" s="59">
        <v>120352006</v>
      </c>
      <c r="H342" s="57" t="s">
        <v>1158</v>
      </c>
      <c r="I342" s="54" t="s">
        <v>546</v>
      </c>
    </row>
    <row r="343" spans="1:9" ht="15.75" thickBot="1">
      <c r="A343" s="55" t="s">
        <v>1159</v>
      </c>
      <c r="B343" s="56" t="s">
        <v>293</v>
      </c>
      <c r="C343" s="57" t="s">
        <v>1160</v>
      </c>
      <c r="D343" s="57" t="s">
        <v>1161</v>
      </c>
      <c r="E343" s="58"/>
      <c r="F343" s="59">
        <v>2540000</v>
      </c>
      <c r="G343" s="59">
        <v>122892006</v>
      </c>
      <c r="H343" s="57" t="s">
        <v>1161</v>
      </c>
      <c r="I343" s="54" t="s">
        <v>546</v>
      </c>
    </row>
    <row r="344" spans="1:9" ht="15.75" thickBot="1">
      <c r="A344" s="55" t="s">
        <v>1162</v>
      </c>
      <c r="B344" s="56" t="s">
        <v>293</v>
      </c>
      <c r="C344" s="57" t="s">
        <v>1163</v>
      </c>
      <c r="D344" s="57" t="s">
        <v>1164</v>
      </c>
      <c r="E344" s="58"/>
      <c r="F344" s="59">
        <v>2029</v>
      </c>
      <c r="G344" s="59">
        <v>122894035</v>
      </c>
      <c r="H344" s="57" t="s">
        <v>1164</v>
      </c>
      <c r="I344" s="54" t="s">
        <v>546</v>
      </c>
    </row>
    <row r="345" spans="1:9" ht="15.75" thickBot="1">
      <c r="A345" s="55" t="s">
        <v>1165</v>
      </c>
      <c r="B345" s="56" t="s">
        <v>541</v>
      </c>
      <c r="C345" s="57" t="s">
        <v>1166</v>
      </c>
      <c r="D345" s="57" t="s">
        <v>1167</v>
      </c>
      <c r="E345" s="58"/>
      <c r="F345" s="59">
        <v>8900000</v>
      </c>
      <c r="G345" s="59">
        <v>131794035</v>
      </c>
      <c r="H345" s="57" t="s">
        <v>1167</v>
      </c>
      <c r="I345" s="54" t="s">
        <v>546</v>
      </c>
    </row>
    <row r="346" spans="1:9" ht="15.75" thickBot="1">
      <c r="A346" s="55" t="s">
        <v>1168</v>
      </c>
      <c r="B346" s="56" t="s">
        <v>541</v>
      </c>
      <c r="C346" s="57" t="s">
        <v>1169</v>
      </c>
      <c r="D346" s="57" t="s">
        <v>1170</v>
      </c>
      <c r="E346" s="58"/>
      <c r="F346" s="59">
        <v>4000000</v>
      </c>
      <c r="G346" s="59">
        <v>135794035</v>
      </c>
      <c r="H346" s="57" t="s">
        <v>1170</v>
      </c>
      <c r="I346" s="54" t="s">
        <v>546</v>
      </c>
    </row>
    <row r="347" spans="1:9" ht="15.75" thickBot="1">
      <c r="A347" s="55" t="s">
        <v>1171</v>
      </c>
      <c r="B347" s="56" t="s">
        <v>541</v>
      </c>
      <c r="C347" s="57" t="s">
        <v>1172</v>
      </c>
      <c r="D347" s="57" t="s">
        <v>1173</v>
      </c>
      <c r="E347" s="58"/>
      <c r="F347" s="59">
        <v>1840000</v>
      </c>
      <c r="G347" s="59">
        <v>137634035</v>
      </c>
      <c r="H347" s="57" t="s">
        <v>1173</v>
      </c>
      <c r="I347" s="54" t="s">
        <v>546</v>
      </c>
    </row>
    <row r="348" spans="1:9" ht="15.75" thickBot="1">
      <c r="A348" s="55" t="s">
        <v>1174</v>
      </c>
      <c r="B348" s="56" t="s">
        <v>541</v>
      </c>
      <c r="C348" s="57" t="s">
        <v>1175</v>
      </c>
      <c r="D348" s="57" t="s">
        <v>1176</v>
      </c>
      <c r="E348" s="58"/>
      <c r="F348" s="59">
        <v>1500000</v>
      </c>
      <c r="G348" s="59">
        <v>139134035</v>
      </c>
      <c r="H348" s="57" t="s">
        <v>1176</v>
      </c>
      <c r="I348" s="54" t="s">
        <v>546</v>
      </c>
    </row>
    <row r="349" spans="1:9" ht="15.75" thickBot="1">
      <c r="A349" s="55" t="s">
        <v>1177</v>
      </c>
      <c r="B349" s="56" t="s">
        <v>541</v>
      </c>
      <c r="C349" s="57" t="s">
        <v>1178</v>
      </c>
      <c r="D349" s="57" t="s">
        <v>1179</v>
      </c>
      <c r="E349" s="58"/>
      <c r="F349" s="59">
        <v>3100000</v>
      </c>
      <c r="G349" s="59">
        <v>142234035</v>
      </c>
      <c r="H349" s="57" t="s">
        <v>1179</v>
      </c>
      <c r="I349" s="54" t="s">
        <v>546</v>
      </c>
    </row>
    <row r="350" spans="1:9" ht="15.75" thickBot="1">
      <c r="A350" s="55" t="s">
        <v>1180</v>
      </c>
      <c r="B350" s="56" t="s">
        <v>541</v>
      </c>
      <c r="C350" s="57" t="s">
        <v>1181</v>
      </c>
      <c r="D350" s="57" t="s">
        <v>1182</v>
      </c>
      <c r="E350" s="58"/>
      <c r="F350" s="59">
        <v>1800000</v>
      </c>
      <c r="G350" s="59">
        <v>144034035</v>
      </c>
      <c r="H350" s="57" t="s">
        <v>1182</v>
      </c>
      <c r="I350" s="54" t="s">
        <v>546</v>
      </c>
    </row>
    <row r="351" spans="1:9" ht="15.75" thickBot="1">
      <c r="A351" s="55" t="s">
        <v>1183</v>
      </c>
      <c r="B351" s="56" t="s">
        <v>541</v>
      </c>
      <c r="C351" s="57" t="s">
        <v>1184</v>
      </c>
      <c r="D351" s="57" t="s">
        <v>1185</v>
      </c>
      <c r="E351" s="58"/>
      <c r="F351" s="59">
        <v>450000</v>
      </c>
      <c r="G351" s="59">
        <v>144484035</v>
      </c>
      <c r="H351" s="57" t="s">
        <v>1185</v>
      </c>
      <c r="I351" s="54" t="s">
        <v>546</v>
      </c>
    </row>
    <row r="352" spans="1:9" ht="15.75" thickBot="1">
      <c r="A352" s="55" t="s">
        <v>1186</v>
      </c>
      <c r="B352" s="56" t="s">
        <v>541</v>
      </c>
      <c r="C352" s="57" t="s">
        <v>1187</v>
      </c>
      <c r="D352" s="57" t="s">
        <v>1188</v>
      </c>
      <c r="E352" s="58"/>
      <c r="F352" s="59">
        <v>2240000</v>
      </c>
      <c r="G352" s="59">
        <v>146724035</v>
      </c>
      <c r="H352" s="57" t="s">
        <v>1188</v>
      </c>
      <c r="I352" s="54" t="s">
        <v>546</v>
      </c>
    </row>
    <row r="353" spans="1:9" ht="15.75" thickBot="1">
      <c r="A353" s="55" t="s">
        <v>1189</v>
      </c>
      <c r="B353" s="56" t="s">
        <v>541</v>
      </c>
      <c r="C353" s="57" t="s">
        <v>1190</v>
      </c>
      <c r="D353" s="57" t="s">
        <v>1191</v>
      </c>
      <c r="E353" s="58"/>
      <c r="F353" s="59">
        <v>3150000</v>
      </c>
      <c r="G353" s="59">
        <v>149874035</v>
      </c>
      <c r="H353" s="57" t="s">
        <v>1191</v>
      </c>
      <c r="I353" s="54" t="s">
        <v>546</v>
      </c>
    </row>
    <row r="354" spans="1:9" ht="15.75" thickBot="1">
      <c r="A354" s="55" t="s">
        <v>1192</v>
      </c>
      <c r="B354" s="56" t="s">
        <v>541</v>
      </c>
      <c r="C354" s="57" t="s">
        <v>1193</v>
      </c>
      <c r="D354" s="57" t="s">
        <v>1194</v>
      </c>
      <c r="E354" s="58"/>
      <c r="F354" s="59">
        <v>4500000</v>
      </c>
      <c r="G354" s="59">
        <v>154374035</v>
      </c>
      <c r="H354" s="57" t="s">
        <v>1194</v>
      </c>
      <c r="I354" s="54" t="s">
        <v>546</v>
      </c>
    </row>
    <row r="355" spans="1:9" ht="15.75" thickBot="1">
      <c r="A355" s="55" t="s">
        <v>1195</v>
      </c>
      <c r="B355" s="56" t="s">
        <v>541</v>
      </c>
      <c r="C355" s="57" t="s">
        <v>1196</v>
      </c>
      <c r="D355" s="57" t="s">
        <v>1197</v>
      </c>
      <c r="E355" s="58"/>
      <c r="F355" s="59">
        <v>2200000</v>
      </c>
      <c r="G355" s="59">
        <v>156574035</v>
      </c>
      <c r="H355" s="57" t="s">
        <v>1197</v>
      </c>
      <c r="I355" s="54" t="s">
        <v>546</v>
      </c>
    </row>
    <row r="356" spans="1:9" ht="15.75" thickBot="1">
      <c r="A356" s="55" t="s">
        <v>1198</v>
      </c>
      <c r="B356" s="56" t="s">
        <v>541</v>
      </c>
      <c r="C356" s="57" t="s">
        <v>1199</v>
      </c>
      <c r="D356" s="57" t="s">
        <v>1200</v>
      </c>
      <c r="E356" s="58"/>
      <c r="F356" s="59">
        <v>3555000</v>
      </c>
      <c r="G356" s="59">
        <v>160129035</v>
      </c>
      <c r="H356" s="57" t="s">
        <v>1200</v>
      </c>
      <c r="I356" s="54" t="s">
        <v>546</v>
      </c>
    </row>
    <row r="357" spans="1:9" ht="15.75" thickBot="1">
      <c r="A357" s="55" t="s">
        <v>1201</v>
      </c>
      <c r="B357" s="56" t="s">
        <v>541</v>
      </c>
      <c r="C357" s="57" t="s">
        <v>1202</v>
      </c>
      <c r="D357" s="57" t="s">
        <v>1203</v>
      </c>
      <c r="E357" s="58"/>
      <c r="F357" s="59">
        <v>2590000</v>
      </c>
      <c r="G357" s="59">
        <v>162719035</v>
      </c>
      <c r="H357" s="57" t="s">
        <v>1203</v>
      </c>
      <c r="I357" s="54" t="s">
        <v>546</v>
      </c>
    </row>
    <row r="358" spans="1:9" ht="15.75" thickBot="1">
      <c r="A358" s="55" t="s">
        <v>1204</v>
      </c>
      <c r="B358" s="56" t="s">
        <v>541</v>
      </c>
      <c r="C358" s="57" t="s">
        <v>1205</v>
      </c>
      <c r="D358" s="57" t="s">
        <v>1206</v>
      </c>
      <c r="E358" s="58"/>
      <c r="F358" s="59">
        <v>2670000</v>
      </c>
      <c r="G358" s="59">
        <v>165389035</v>
      </c>
      <c r="H358" s="57" t="s">
        <v>1206</v>
      </c>
      <c r="I358" s="54" t="s">
        <v>546</v>
      </c>
    </row>
    <row r="359" spans="1:9" ht="15.75" thickBot="1">
      <c r="A359" s="55" t="s">
        <v>1207</v>
      </c>
      <c r="B359" s="56" t="s">
        <v>541</v>
      </c>
      <c r="C359" s="57" t="s">
        <v>1208</v>
      </c>
      <c r="D359" s="57" t="s">
        <v>1209</v>
      </c>
      <c r="E359" s="58"/>
      <c r="F359" s="59">
        <v>4170000</v>
      </c>
      <c r="G359" s="59">
        <v>169559035</v>
      </c>
      <c r="H359" s="57" t="s">
        <v>1209</v>
      </c>
      <c r="I359" s="54" t="s">
        <v>546</v>
      </c>
    </row>
    <row r="360" spans="1:9" ht="15.75" thickBot="1">
      <c r="A360" s="55" t="s">
        <v>1210</v>
      </c>
      <c r="B360" s="56" t="s">
        <v>541</v>
      </c>
      <c r="C360" s="57" t="s">
        <v>1211</v>
      </c>
      <c r="D360" s="57" t="s">
        <v>1212</v>
      </c>
      <c r="E360" s="58"/>
      <c r="F360" s="59">
        <v>1650000</v>
      </c>
      <c r="G360" s="59">
        <v>171209035</v>
      </c>
      <c r="H360" s="57" t="s">
        <v>1212</v>
      </c>
      <c r="I360" s="54" t="s">
        <v>546</v>
      </c>
    </row>
    <row r="361" spans="1:9" ht="15.75" thickBot="1">
      <c r="A361" s="55" t="s">
        <v>1213</v>
      </c>
      <c r="B361" s="56" t="s">
        <v>541</v>
      </c>
      <c r="C361" s="57" t="s">
        <v>1214</v>
      </c>
      <c r="D361" s="57" t="s">
        <v>1215</v>
      </c>
      <c r="E361" s="58"/>
      <c r="F361" s="59">
        <v>8050000</v>
      </c>
      <c r="G361" s="59">
        <v>179259035</v>
      </c>
      <c r="H361" s="57" t="s">
        <v>1215</v>
      </c>
      <c r="I361" s="54" t="s">
        <v>546</v>
      </c>
    </row>
    <row r="362" spans="1:9" ht="15.75" thickBot="1">
      <c r="A362" s="55" t="s">
        <v>1216</v>
      </c>
      <c r="B362" s="56" t="s">
        <v>541</v>
      </c>
      <c r="C362" s="57" t="s">
        <v>1217</v>
      </c>
      <c r="D362" s="57" t="s">
        <v>1218</v>
      </c>
      <c r="E362" s="58"/>
      <c r="F362" s="59">
        <v>2300000</v>
      </c>
      <c r="G362" s="59">
        <v>181559035</v>
      </c>
      <c r="H362" s="57" t="s">
        <v>1218</v>
      </c>
      <c r="I362" s="54" t="s">
        <v>546</v>
      </c>
    </row>
    <row r="363" spans="1:9" ht="15.75" thickBot="1">
      <c r="A363" s="55" t="s">
        <v>1219</v>
      </c>
      <c r="B363" s="56" t="s">
        <v>541</v>
      </c>
      <c r="C363" s="57" t="s">
        <v>1220</v>
      </c>
      <c r="D363" s="57" t="s">
        <v>1221</v>
      </c>
      <c r="E363" s="58"/>
      <c r="F363" s="59">
        <v>3560000</v>
      </c>
      <c r="G363" s="59">
        <v>185119035</v>
      </c>
      <c r="H363" s="57" t="s">
        <v>1221</v>
      </c>
      <c r="I363" s="54" t="s">
        <v>546</v>
      </c>
    </row>
    <row r="364" spans="1:9" ht="15.75" thickBot="1">
      <c r="A364" s="55" t="s">
        <v>169</v>
      </c>
      <c r="B364" s="56" t="s">
        <v>541</v>
      </c>
      <c r="C364" s="57" t="s">
        <v>1222</v>
      </c>
      <c r="D364" s="57" t="s">
        <v>1223</v>
      </c>
      <c r="E364" s="58"/>
      <c r="F364" s="59">
        <v>2590000</v>
      </c>
      <c r="G364" s="59">
        <v>187709035</v>
      </c>
      <c r="H364" s="57" t="s">
        <v>1223</v>
      </c>
      <c r="I364" s="54" t="s">
        <v>546</v>
      </c>
    </row>
    <row r="365" spans="1:9">
      <c r="A365" s="48" t="s">
        <v>153</v>
      </c>
      <c r="B365" s="49" t="s">
        <v>156</v>
      </c>
      <c r="C365" s="50" t="s">
        <v>157</v>
      </c>
      <c r="D365" s="50" t="s">
        <v>158</v>
      </c>
      <c r="E365" s="50" t="s">
        <v>159</v>
      </c>
      <c r="F365" s="50" t="s">
        <v>160</v>
      </c>
      <c r="G365" s="51" t="s">
        <v>161</v>
      </c>
      <c r="H365" s="50" t="s">
        <v>162</v>
      </c>
      <c r="I365" s="48" t="s">
        <v>154</v>
      </c>
    </row>
    <row r="366" spans="1:9">
      <c r="A366" s="48"/>
      <c r="B366" s="88">
        <v>44624</v>
      </c>
      <c r="C366" s="89" t="s">
        <v>170</v>
      </c>
      <c r="D366" s="89" t="s">
        <v>171</v>
      </c>
      <c r="E366" s="90">
        <v>-15000000</v>
      </c>
      <c r="F366" s="90">
        <v>0</v>
      </c>
      <c r="G366" s="90">
        <v>15000959</v>
      </c>
      <c r="H366" s="89" t="s">
        <v>172</v>
      </c>
      <c r="I366" s="48" t="s">
        <v>173</v>
      </c>
    </row>
    <row r="367" spans="1:9">
      <c r="A367" s="48"/>
      <c r="B367" s="88">
        <v>44624</v>
      </c>
      <c r="C367" s="89" t="s">
        <v>174</v>
      </c>
      <c r="D367" s="89" t="s">
        <v>175</v>
      </c>
      <c r="E367" s="90">
        <v>-20000000</v>
      </c>
      <c r="F367" s="90">
        <v>0</v>
      </c>
      <c r="G367" s="90">
        <v>30000959</v>
      </c>
      <c r="H367" s="89" t="s">
        <v>176</v>
      </c>
      <c r="I367" s="48" t="s">
        <v>173</v>
      </c>
    </row>
    <row r="368" spans="1:9">
      <c r="A368" s="48"/>
      <c r="B368" s="88">
        <v>44624</v>
      </c>
      <c r="C368" s="89" t="s">
        <v>177</v>
      </c>
      <c r="D368" s="89" t="s">
        <v>178</v>
      </c>
      <c r="E368" s="90">
        <v>0</v>
      </c>
      <c r="F368" s="90">
        <v>40000000</v>
      </c>
      <c r="G368" s="90">
        <v>50000959</v>
      </c>
      <c r="H368" s="89" t="s">
        <v>165</v>
      </c>
      <c r="I368" s="48" t="s">
        <v>173</v>
      </c>
    </row>
    <row r="369" spans="1:9">
      <c r="A369" s="48"/>
      <c r="B369" s="88">
        <v>44623</v>
      </c>
      <c r="C369" s="89" t="s">
        <v>179</v>
      </c>
      <c r="D369" s="89" t="s">
        <v>180</v>
      </c>
      <c r="E369" s="90">
        <v>-5000000</v>
      </c>
      <c r="F369" s="90">
        <v>0</v>
      </c>
      <c r="G369" s="90">
        <v>10000959</v>
      </c>
      <c r="H369" s="89" t="s">
        <v>181</v>
      </c>
      <c r="I369" s="48" t="s">
        <v>173</v>
      </c>
    </row>
    <row r="370" spans="1:9">
      <c r="A370" s="48"/>
      <c r="B370" s="88">
        <v>44623</v>
      </c>
      <c r="C370" s="89" t="s">
        <v>182</v>
      </c>
      <c r="D370" s="89" t="s">
        <v>183</v>
      </c>
      <c r="E370" s="90">
        <v>0</v>
      </c>
      <c r="F370" s="90">
        <v>10000000</v>
      </c>
      <c r="G370" s="90">
        <v>15000959</v>
      </c>
      <c r="H370" s="89" t="s">
        <v>165</v>
      </c>
      <c r="I370" s="48" t="s">
        <v>173</v>
      </c>
    </row>
    <row r="371" spans="1:9">
      <c r="A371" s="48"/>
      <c r="B371" s="88">
        <v>44623</v>
      </c>
      <c r="C371" s="89" t="s">
        <v>184</v>
      </c>
      <c r="D371" s="89" t="s">
        <v>185</v>
      </c>
      <c r="E371" s="90">
        <v>-7000000</v>
      </c>
      <c r="F371" s="90">
        <v>0</v>
      </c>
      <c r="G371" s="90">
        <v>5000959</v>
      </c>
      <c r="H371" s="89" t="s">
        <v>186</v>
      </c>
      <c r="I371" s="48" t="s">
        <v>173</v>
      </c>
    </row>
    <row r="372" spans="1:9">
      <c r="A372" s="48"/>
      <c r="B372" s="88">
        <v>44623</v>
      </c>
      <c r="C372" s="89" t="s">
        <v>187</v>
      </c>
      <c r="D372" s="89" t="s">
        <v>188</v>
      </c>
      <c r="E372" s="90">
        <v>-12500000</v>
      </c>
      <c r="F372" s="90">
        <v>0</v>
      </c>
      <c r="G372" s="90">
        <v>12000959</v>
      </c>
      <c r="H372" s="89" t="s">
        <v>189</v>
      </c>
      <c r="I372" s="48" t="s">
        <v>173</v>
      </c>
    </row>
    <row r="373" spans="1:9">
      <c r="A373" s="48"/>
      <c r="B373" s="88">
        <v>44623</v>
      </c>
      <c r="C373" s="89" t="s">
        <v>190</v>
      </c>
      <c r="D373" s="89" t="s">
        <v>191</v>
      </c>
      <c r="E373" s="90">
        <v>-40000000</v>
      </c>
      <c r="F373" s="90">
        <v>0</v>
      </c>
      <c r="G373" s="90">
        <v>24500959</v>
      </c>
      <c r="H373" s="89" t="s">
        <v>192</v>
      </c>
      <c r="I373" s="48" t="s">
        <v>173</v>
      </c>
    </row>
    <row r="374" spans="1:9">
      <c r="A374" s="48"/>
      <c r="B374" s="88">
        <v>44623</v>
      </c>
      <c r="C374" s="89" t="s">
        <v>193</v>
      </c>
      <c r="D374" s="89" t="s">
        <v>183</v>
      </c>
      <c r="E374" s="90">
        <v>0</v>
      </c>
      <c r="F374" s="90">
        <v>50000000</v>
      </c>
      <c r="G374" s="90">
        <v>64500959</v>
      </c>
      <c r="H374" s="89" t="s">
        <v>165</v>
      </c>
      <c r="I374" s="48" t="s">
        <v>173</v>
      </c>
    </row>
    <row r="375" spans="1:9">
      <c r="A375" s="48"/>
      <c r="B375" s="88">
        <v>44622</v>
      </c>
      <c r="C375" s="89" t="s">
        <v>194</v>
      </c>
      <c r="D375" s="89" t="s">
        <v>195</v>
      </c>
      <c r="E375" s="90">
        <v>-12000000</v>
      </c>
      <c r="F375" s="90">
        <v>0</v>
      </c>
      <c r="G375" s="90">
        <v>14500959</v>
      </c>
      <c r="H375" s="89" t="s">
        <v>196</v>
      </c>
      <c r="I375" s="48" t="s">
        <v>173</v>
      </c>
    </row>
    <row r="376" spans="1:9">
      <c r="A376" s="48"/>
      <c r="B376" s="88">
        <v>44622</v>
      </c>
      <c r="C376" s="89" t="s">
        <v>197</v>
      </c>
      <c r="D376" s="89" t="s">
        <v>195</v>
      </c>
      <c r="E376" s="90">
        <v>-12500000</v>
      </c>
      <c r="F376" s="90">
        <v>0</v>
      </c>
      <c r="G376" s="90">
        <v>26500959</v>
      </c>
      <c r="H376" s="89" t="s">
        <v>198</v>
      </c>
      <c r="I376" s="48" t="s">
        <v>173</v>
      </c>
    </row>
    <row r="377" spans="1:9">
      <c r="A377" s="48"/>
      <c r="B377" s="88">
        <v>44621</v>
      </c>
      <c r="C377" s="89" t="s">
        <v>199</v>
      </c>
      <c r="D377" s="89" t="s">
        <v>200</v>
      </c>
      <c r="E377" s="90">
        <v>-40000000</v>
      </c>
      <c r="F377" s="90">
        <v>0</v>
      </c>
      <c r="G377" s="90">
        <v>39000959</v>
      </c>
      <c r="H377" s="89" t="s">
        <v>201</v>
      </c>
      <c r="I377" s="48" t="s">
        <v>173</v>
      </c>
    </row>
    <row r="378" spans="1:9">
      <c r="A378" s="48"/>
      <c r="B378" s="88">
        <v>44621</v>
      </c>
      <c r="C378" s="89" t="s">
        <v>202</v>
      </c>
      <c r="D378" s="89" t="s">
        <v>203</v>
      </c>
      <c r="E378" s="90">
        <v>-30000000</v>
      </c>
      <c r="F378" s="90">
        <v>0</v>
      </c>
      <c r="G378" s="90">
        <v>79000959</v>
      </c>
      <c r="H378" s="89" t="s">
        <v>204</v>
      </c>
      <c r="I378" s="48" t="s">
        <v>173</v>
      </c>
    </row>
    <row r="379" spans="1:9">
      <c r="A379" s="48"/>
      <c r="B379" s="88">
        <v>44621</v>
      </c>
      <c r="C379" s="89" t="s">
        <v>205</v>
      </c>
      <c r="D379" s="89" t="s">
        <v>206</v>
      </c>
      <c r="E379" s="90">
        <v>-15000000</v>
      </c>
      <c r="F379" s="90">
        <v>0</v>
      </c>
      <c r="G379" s="90">
        <v>109000959</v>
      </c>
      <c r="H379" s="89" t="s">
        <v>207</v>
      </c>
      <c r="I379" s="48" t="s">
        <v>173</v>
      </c>
    </row>
    <row r="380" spans="1:9">
      <c r="A380" s="48"/>
      <c r="B380" s="88">
        <v>44621</v>
      </c>
      <c r="C380" s="89" t="s">
        <v>208</v>
      </c>
      <c r="D380" s="89" t="s">
        <v>185</v>
      </c>
      <c r="E380" s="90">
        <v>-6000000</v>
      </c>
      <c r="F380" s="90">
        <v>0</v>
      </c>
      <c r="G380" s="90">
        <v>124000959</v>
      </c>
      <c r="H380" s="89" t="s">
        <v>209</v>
      </c>
      <c r="I380" s="48" t="s">
        <v>173</v>
      </c>
    </row>
    <row r="381" spans="1:9">
      <c r="A381" s="48"/>
      <c r="B381" s="88">
        <v>44621</v>
      </c>
      <c r="C381" s="89" t="s">
        <v>210</v>
      </c>
      <c r="D381" s="89" t="s">
        <v>211</v>
      </c>
      <c r="E381" s="90">
        <v>-10000000</v>
      </c>
      <c r="F381" s="90">
        <v>0</v>
      </c>
      <c r="G381" s="90">
        <v>130000959</v>
      </c>
      <c r="H381" s="89" t="s">
        <v>212</v>
      </c>
      <c r="I381" s="48" t="s">
        <v>173</v>
      </c>
    </row>
    <row r="382" spans="1:9">
      <c r="A382" s="48"/>
      <c r="B382" s="88">
        <v>44621</v>
      </c>
      <c r="C382" s="89" t="s">
        <v>163</v>
      </c>
      <c r="D382" s="89" t="s">
        <v>164</v>
      </c>
      <c r="E382" s="90">
        <v>0</v>
      </c>
      <c r="F382" s="90">
        <v>100000000</v>
      </c>
      <c r="G382" s="90">
        <v>140000959</v>
      </c>
      <c r="H382" s="89" t="s">
        <v>165</v>
      </c>
      <c r="I382" s="48" t="s">
        <v>173</v>
      </c>
    </row>
    <row r="383" spans="1:9">
      <c r="A383" s="48"/>
      <c r="B383" s="88">
        <v>44620</v>
      </c>
      <c r="C383" s="89" t="s">
        <v>213</v>
      </c>
      <c r="D383" s="89" t="s">
        <v>166</v>
      </c>
      <c r="E383" s="90">
        <v>0</v>
      </c>
      <c r="F383" s="90">
        <v>959</v>
      </c>
      <c r="G383" s="90">
        <v>40000959</v>
      </c>
      <c r="H383" s="89"/>
      <c r="I383" s="48" t="s">
        <v>173</v>
      </c>
    </row>
    <row r="384" spans="1:9">
      <c r="A384" s="48"/>
      <c r="B384" s="88">
        <v>44620</v>
      </c>
      <c r="C384" s="89" t="s">
        <v>214</v>
      </c>
      <c r="D384" s="89" t="s">
        <v>215</v>
      </c>
      <c r="E384" s="90">
        <v>-10000000</v>
      </c>
      <c r="F384" s="90">
        <v>0</v>
      </c>
      <c r="G384" s="90">
        <v>40000000</v>
      </c>
      <c r="H384" s="89" t="s">
        <v>216</v>
      </c>
      <c r="I384" s="48" t="s">
        <v>173</v>
      </c>
    </row>
    <row r="385" spans="1:9">
      <c r="A385" s="48"/>
      <c r="B385" s="88">
        <v>44620</v>
      </c>
      <c r="C385" s="89" t="s">
        <v>217</v>
      </c>
      <c r="D385" s="89" t="s">
        <v>218</v>
      </c>
      <c r="E385" s="90">
        <v>-10000000</v>
      </c>
      <c r="F385" s="90">
        <v>0</v>
      </c>
      <c r="G385" s="90">
        <v>50000000</v>
      </c>
      <c r="H385" s="89" t="s">
        <v>219</v>
      </c>
      <c r="I385" s="48" t="s">
        <v>173</v>
      </c>
    </row>
    <row r="386" spans="1:9">
      <c r="A386" s="48"/>
      <c r="B386" s="88">
        <v>44620</v>
      </c>
      <c r="C386" s="89" t="s">
        <v>220</v>
      </c>
      <c r="D386" s="89" t="s">
        <v>200</v>
      </c>
      <c r="E386" s="90">
        <v>-10000000</v>
      </c>
      <c r="F386" s="90">
        <v>0</v>
      </c>
      <c r="G386" s="90">
        <v>60000000</v>
      </c>
      <c r="H386" s="89" t="s">
        <v>221</v>
      </c>
      <c r="I386" s="48" t="s">
        <v>173</v>
      </c>
    </row>
    <row r="387" spans="1:9">
      <c r="A387" s="48"/>
      <c r="B387" s="88">
        <v>44620</v>
      </c>
      <c r="C387" s="89" t="s">
        <v>167</v>
      </c>
      <c r="D387" s="89" t="s">
        <v>168</v>
      </c>
      <c r="E387" s="90">
        <v>0</v>
      </c>
      <c r="F387" s="90">
        <v>50000000</v>
      </c>
      <c r="G387" s="90">
        <v>70000000</v>
      </c>
      <c r="H387" s="89" t="s">
        <v>165</v>
      </c>
      <c r="I387" s="48" t="s">
        <v>173</v>
      </c>
    </row>
    <row r="388" spans="1:9">
      <c r="A388" s="48"/>
      <c r="B388" s="88">
        <v>44618</v>
      </c>
      <c r="C388" s="89" t="s">
        <v>222</v>
      </c>
      <c r="D388" s="89" t="s">
        <v>223</v>
      </c>
      <c r="E388" s="90">
        <v>-15000000</v>
      </c>
      <c r="F388" s="90">
        <v>0</v>
      </c>
      <c r="G388" s="90">
        <v>20000000</v>
      </c>
      <c r="H388" s="89" t="s">
        <v>224</v>
      </c>
      <c r="I388" s="48" t="s">
        <v>173</v>
      </c>
    </row>
    <row r="389" spans="1:9">
      <c r="A389" s="48"/>
      <c r="B389" s="88">
        <v>44618</v>
      </c>
      <c r="C389" s="89" t="s">
        <v>225</v>
      </c>
      <c r="D389" s="89" t="s">
        <v>226</v>
      </c>
      <c r="E389" s="90">
        <v>-23810000</v>
      </c>
      <c r="F389" s="90">
        <v>0</v>
      </c>
      <c r="G389" s="90">
        <v>35000000</v>
      </c>
      <c r="H389" s="89" t="s">
        <v>227</v>
      </c>
      <c r="I389" s="48" t="s">
        <v>173</v>
      </c>
    </row>
    <row r="390" spans="1:9">
      <c r="A390" s="48"/>
      <c r="B390" s="88">
        <v>44618</v>
      </c>
      <c r="C390" s="89" t="s">
        <v>228</v>
      </c>
      <c r="D390" s="89" t="s">
        <v>229</v>
      </c>
      <c r="E390" s="90">
        <v>-6190000</v>
      </c>
      <c r="F390" s="90">
        <v>0</v>
      </c>
      <c r="G390" s="90">
        <v>58810000</v>
      </c>
      <c r="H390" s="89" t="s">
        <v>230</v>
      </c>
      <c r="I390" s="48" t="s">
        <v>173</v>
      </c>
    </row>
    <row r="391" spans="1:9">
      <c r="A391" s="48"/>
      <c r="B391" s="88">
        <v>44617</v>
      </c>
      <c r="C391" s="89" t="s">
        <v>231</v>
      </c>
      <c r="D391" s="89" t="s">
        <v>232</v>
      </c>
      <c r="E391" s="90">
        <v>0</v>
      </c>
      <c r="F391" s="90">
        <v>50000000</v>
      </c>
      <c r="G391" s="90">
        <v>65000000</v>
      </c>
      <c r="H391" s="89" t="s">
        <v>165</v>
      </c>
      <c r="I391" s="48" t="s">
        <v>173</v>
      </c>
    </row>
    <row r="392" spans="1:9">
      <c r="A392" s="48"/>
      <c r="B392" s="88">
        <v>44615</v>
      </c>
      <c r="C392" s="89" t="s">
        <v>233</v>
      </c>
      <c r="D392" s="89" t="s">
        <v>234</v>
      </c>
      <c r="E392" s="90">
        <v>-20000000</v>
      </c>
      <c r="F392" s="90">
        <v>0</v>
      </c>
      <c r="G392" s="90">
        <v>15000000</v>
      </c>
      <c r="H392" s="89" t="s">
        <v>235</v>
      </c>
      <c r="I392" s="48" t="s">
        <v>173</v>
      </c>
    </row>
    <row r="393" spans="1:9">
      <c r="A393" s="48"/>
      <c r="B393" s="88">
        <v>44615</v>
      </c>
      <c r="C393" s="89" t="s">
        <v>236</v>
      </c>
      <c r="D393" s="89" t="s">
        <v>237</v>
      </c>
      <c r="E393" s="90">
        <v>-15000000</v>
      </c>
      <c r="F393" s="90">
        <v>0</v>
      </c>
      <c r="G393" s="90">
        <v>35000000</v>
      </c>
      <c r="H393" s="89" t="s">
        <v>238</v>
      </c>
      <c r="I393" s="48" t="s">
        <v>173</v>
      </c>
    </row>
    <row r="394" spans="1:9">
      <c r="A394" s="48" t="s">
        <v>169</v>
      </c>
      <c r="B394" s="88">
        <v>44615</v>
      </c>
      <c r="C394" s="89" t="s">
        <v>239</v>
      </c>
      <c r="D394" s="89" t="s">
        <v>240</v>
      </c>
      <c r="E394" s="90">
        <v>0</v>
      </c>
      <c r="F394" s="90">
        <v>50000000</v>
      </c>
      <c r="G394" s="90">
        <v>50000000</v>
      </c>
      <c r="H394" s="89" t="s">
        <v>165</v>
      </c>
      <c r="I394" s="48" t="s">
        <v>173</v>
      </c>
    </row>
    <row r="395" spans="1:9">
      <c r="A395" s="70" t="s">
        <v>153</v>
      </c>
      <c r="B395" s="71" t="s">
        <v>1238</v>
      </c>
      <c r="C395" s="71" t="s">
        <v>1239</v>
      </c>
      <c r="D395" s="71" t="s">
        <v>1240</v>
      </c>
      <c r="E395" s="72" t="s">
        <v>1241</v>
      </c>
      <c r="F395" s="72" t="s">
        <v>1242</v>
      </c>
      <c r="G395" s="71" t="s">
        <v>1243</v>
      </c>
      <c r="H395" s="73" t="s">
        <v>1244</v>
      </c>
      <c r="I395" t="s">
        <v>154</v>
      </c>
    </row>
    <row r="396" spans="1:9">
      <c r="A396" s="74" t="s">
        <v>169</v>
      </c>
      <c r="B396" s="74" t="s">
        <v>1245</v>
      </c>
      <c r="C396" s="75" t="s">
        <v>1246</v>
      </c>
      <c r="D396" s="76" t="s">
        <v>1247</v>
      </c>
      <c r="E396" s="77">
        <v>0</v>
      </c>
      <c r="F396" s="77">
        <v>30636302</v>
      </c>
      <c r="G396" s="74">
        <v>174797935</v>
      </c>
      <c r="H396" s="74" t="s">
        <v>1248</v>
      </c>
      <c r="I396" s="91" t="s">
        <v>1249</v>
      </c>
    </row>
    <row r="397" spans="1:9">
      <c r="A397" s="78" t="s">
        <v>297</v>
      </c>
      <c r="B397" s="78" t="s">
        <v>1245</v>
      </c>
      <c r="C397" s="79" t="s">
        <v>1250</v>
      </c>
      <c r="D397" s="79" t="s">
        <v>1251</v>
      </c>
      <c r="E397" s="80">
        <v>0</v>
      </c>
      <c r="F397" s="80">
        <v>15251405</v>
      </c>
      <c r="G397" s="78">
        <v>205434237</v>
      </c>
      <c r="H397" s="78" t="s">
        <v>1248</v>
      </c>
      <c r="I397" t="s">
        <v>1249</v>
      </c>
    </row>
    <row r="398" spans="1:9">
      <c r="A398" s="78" t="s">
        <v>300</v>
      </c>
      <c r="B398" s="78" t="s">
        <v>1245</v>
      </c>
      <c r="C398" s="79" t="s">
        <v>1252</v>
      </c>
      <c r="D398" s="79" t="s">
        <v>1253</v>
      </c>
      <c r="E398" s="80">
        <v>0</v>
      </c>
      <c r="F398" s="80">
        <v>7992588</v>
      </c>
      <c r="G398" s="78">
        <v>220685642</v>
      </c>
      <c r="H398" s="78" t="s">
        <v>1248</v>
      </c>
      <c r="I398" t="s">
        <v>1249</v>
      </c>
    </row>
    <row r="399" spans="1:9">
      <c r="A399" s="78" t="s">
        <v>303</v>
      </c>
      <c r="B399" s="78" t="s">
        <v>1245</v>
      </c>
      <c r="C399" s="79" t="s">
        <v>1254</v>
      </c>
      <c r="D399" s="79" t="s">
        <v>1255</v>
      </c>
      <c r="E399" s="80">
        <v>0</v>
      </c>
      <c r="F399" s="80">
        <v>16760000</v>
      </c>
      <c r="G399" s="78">
        <v>228678230</v>
      </c>
      <c r="H399" s="78" t="s">
        <v>1248</v>
      </c>
      <c r="I399" t="s">
        <v>1249</v>
      </c>
    </row>
    <row r="400" spans="1:9">
      <c r="A400" s="78" t="s">
        <v>306</v>
      </c>
      <c r="B400" s="78" t="s">
        <v>1245</v>
      </c>
      <c r="C400" s="79" t="s">
        <v>1256</v>
      </c>
      <c r="D400" s="79" t="s">
        <v>1257</v>
      </c>
      <c r="E400" s="80">
        <v>0</v>
      </c>
      <c r="F400" s="80">
        <v>7459448</v>
      </c>
      <c r="G400" s="78">
        <v>245438230</v>
      </c>
      <c r="H400" s="78" t="s">
        <v>1248</v>
      </c>
      <c r="I400" t="s">
        <v>1249</v>
      </c>
    </row>
    <row r="401" spans="1:9">
      <c r="A401" s="78" t="s">
        <v>309</v>
      </c>
      <c r="B401" s="78" t="s">
        <v>1245</v>
      </c>
      <c r="C401" s="79" t="s">
        <v>1258</v>
      </c>
      <c r="D401" s="79" t="s">
        <v>1259</v>
      </c>
      <c r="E401" s="80">
        <v>0</v>
      </c>
      <c r="F401" s="80">
        <v>5405929</v>
      </c>
      <c r="G401" s="78">
        <v>252897678</v>
      </c>
      <c r="H401" s="78" t="s">
        <v>1248</v>
      </c>
      <c r="I401" t="s">
        <v>1249</v>
      </c>
    </row>
    <row r="402" spans="1:9">
      <c r="A402" s="78" t="s">
        <v>525</v>
      </c>
      <c r="B402" s="78" t="s">
        <v>1245</v>
      </c>
      <c r="C402" s="79" t="s">
        <v>1260</v>
      </c>
      <c r="D402" s="79" t="s">
        <v>1261</v>
      </c>
      <c r="E402" s="80">
        <v>0</v>
      </c>
      <c r="F402" s="80">
        <v>10919010</v>
      </c>
      <c r="G402" s="78">
        <v>258303607</v>
      </c>
      <c r="H402" s="78" t="s">
        <v>1262</v>
      </c>
      <c r="I402" t="s">
        <v>1249</v>
      </c>
    </row>
    <row r="403" spans="1:9">
      <c r="A403" s="78" t="s">
        <v>526</v>
      </c>
      <c r="B403" s="78" t="s">
        <v>1245</v>
      </c>
      <c r="C403" s="79" t="s">
        <v>1263</v>
      </c>
      <c r="D403" s="79" t="s">
        <v>1264</v>
      </c>
      <c r="E403" s="80">
        <v>0</v>
      </c>
      <c r="F403" s="80">
        <v>19717449</v>
      </c>
      <c r="G403" s="78">
        <v>269222617</v>
      </c>
      <c r="H403" s="78" t="s">
        <v>1262</v>
      </c>
      <c r="I403" t="s">
        <v>1249</v>
      </c>
    </row>
    <row r="404" spans="1:9">
      <c r="A404" s="78" t="s">
        <v>529</v>
      </c>
      <c r="B404" s="78" t="s">
        <v>1245</v>
      </c>
      <c r="C404" s="79" t="s">
        <v>1265</v>
      </c>
      <c r="D404" s="79" t="s">
        <v>1266</v>
      </c>
      <c r="E404" s="80">
        <v>0</v>
      </c>
      <c r="F404" s="80">
        <v>10358903</v>
      </c>
      <c r="G404" s="78">
        <v>288940066</v>
      </c>
      <c r="H404" s="78" t="s">
        <v>1262</v>
      </c>
      <c r="I404" t="s">
        <v>1249</v>
      </c>
    </row>
    <row r="405" spans="1:9">
      <c r="A405" s="78" t="s">
        <v>532</v>
      </c>
      <c r="B405" s="78" t="s">
        <v>1245</v>
      </c>
      <c r="C405" s="79" t="s">
        <v>1267</v>
      </c>
      <c r="D405" s="79" t="s">
        <v>1268</v>
      </c>
      <c r="E405" s="80">
        <v>0</v>
      </c>
      <c r="F405" s="80">
        <v>11042465</v>
      </c>
      <c r="G405" s="78">
        <v>299298969</v>
      </c>
      <c r="H405" s="78" t="s">
        <v>1262</v>
      </c>
      <c r="I405" t="s">
        <v>1249</v>
      </c>
    </row>
    <row r="406" spans="1:9">
      <c r="A406" s="78" t="s">
        <v>535</v>
      </c>
      <c r="B406" s="78" t="s">
        <v>1245</v>
      </c>
      <c r="C406" s="79" t="s">
        <v>1269</v>
      </c>
      <c r="D406" s="79" t="s">
        <v>1270</v>
      </c>
      <c r="E406" s="80">
        <v>0</v>
      </c>
      <c r="F406" s="80">
        <v>6926594</v>
      </c>
      <c r="G406" s="78">
        <v>310341434</v>
      </c>
      <c r="H406" s="78" t="s">
        <v>1262</v>
      </c>
      <c r="I406" t="s">
        <v>1249</v>
      </c>
    </row>
    <row r="407" spans="1:9">
      <c r="A407" s="78" t="s">
        <v>538</v>
      </c>
      <c r="B407" s="78" t="s">
        <v>1245</v>
      </c>
      <c r="C407" s="79" t="s">
        <v>1271</v>
      </c>
      <c r="D407" s="79" t="s">
        <v>1272</v>
      </c>
      <c r="E407" s="80">
        <v>0</v>
      </c>
      <c r="F407" s="80">
        <v>10396573</v>
      </c>
      <c r="G407" s="78">
        <v>317268028</v>
      </c>
      <c r="H407" s="78" t="s">
        <v>1262</v>
      </c>
      <c r="I407" t="s">
        <v>1249</v>
      </c>
    </row>
    <row r="408" spans="1:9">
      <c r="A408" s="78" t="s">
        <v>569</v>
      </c>
      <c r="B408" s="78" t="s">
        <v>1245</v>
      </c>
      <c r="C408" s="79" t="s">
        <v>1273</v>
      </c>
      <c r="D408" s="79" t="s">
        <v>1274</v>
      </c>
      <c r="E408" s="80">
        <v>0</v>
      </c>
      <c r="F408" s="80">
        <v>8662171</v>
      </c>
      <c r="G408" s="78">
        <v>327664601</v>
      </c>
      <c r="H408" s="78" t="s">
        <v>1262</v>
      </c>
      <c r="I408" t="s">
        <v>1249</v>
      </c>
    </row>
    <row r="409" spans="1:9">
      <c r="A409" s="78" t="s">
        <v>572</v>
      </c>
      <c r="B409" s="78" t="s">
        <v>1245</v>
      </c>
      <c r="C409" s="79" t="s">
        <v>1275</v>
      </c>
      <c r="D409" s="79" t="s">
        <v>1276</v>
      </c>
      <c r="E409" s="80">
        <v>0</v>
      </c>
      <c r="F409" s="80">
        <v>5514163</v>
      </c>
      <c r="G409" s="78">
        <v>336326772</v>
      </c>
      <c r="H409" s="78" t="s">
        <v>1262</v>
      </c>
      <c r="I409" t="s">
        <v>1249</v>
      </c>
    </row>
    <row r="410" spans="1:9">
      <c r="A410" s="78" t="s">
        <v>574</v>
      </c>
      <c r="B410" s="78" t="s">
        <v>1245</v>
      </c>
      <c r="C410" s="79" t="s">
        <v>1277</v>
      </c>
      <c r="D410" s="79" t="s">
        <v>1278</v>
      </c>
      <c r="E410" s="80">
        <v>0</v>
      </c>
      <c r="F410" s="80">
        <v>6546600</v>
      </c>
      <c r="G410" s="78">
        <v>341840935</v>
      </c>
      <c r="H410" s="78" t="s">
        <v>1279</v>
      </c>
      <c r="I410" t="s">
        <v>1249</v>
      </c>
    </row>
    <row r="411" spans="1:9">
      <c r="A411" s="78" t="s">
        <v>577</v>
      </c>
      <c r="B411" s="78" t="s">
        <v>1245</v>
      </c>
      <c r="C411" s="79" t="s">
        <v>1280</v>
      </c>
      <c r="D411" s="79" t="s">
        <v>1281</v>
      </c>
      <c r="E411" s="80">
        <v>0</v>
      </c>
      <c r="F411" s="80">
        <v>7617600</v>
      </c>
      <c r="G411" s="78">
        <v>348387535</v>
      </c>
      <c r="H411" s="78" t="s">
        <v>1279</v>
      </c>
      <c r="I411" t="s">
        <v>1249</v>
      </c>
    </row>
    <row r="412" spans="1:9">
      <c r="A412" s="78" t="s">
        <v>580</v>
      </c>
      <c r="B412" s="78" t="s">
        <v>1245</v>
      </c>
      <c r="C412" s="79" t="s">
        <v>1282</v>
      </c>
      <c r="D412" s="79" t="s">
        <v>1283</v>
      </c>
      <c r="E412" s="80">
        <v>0</v>
      </c>
      <c r="F412" s="80">
        <v>11257800</v>
      </c>
      <c r="G412" s="78">
        <v>356005135</v>
      </c>
      <c r="H412" s="78" t="s">
        <v>1279</v>
      </c>
      <c r="I412" t="s">
        <v>1249</v>
      </c>
    </row>
    <row r="413" spans="1:9">
      <c r="A413" s="78" t="s">
        <v>583</v>
      </c>
      <c r="B413" s="78" t="s">
        <v>1245</v>
      </c>
      <c r="C413" s="79" t="s">
        <v>1284</v>
      </c>
      <c r="D413" s="79" t="s">
        <v>1285</v>
      </c>
      <c r="E413" s="80">
        <v>0</v>
      </c>
      <c r="F413" s="80">
        <v>3865200</v>
      </c>
      <c r="G413" s="78">
        <v>367262935</v>
      </c>
      <c r="H413" s="78" t="s">
        <v>1279</v>
      </c>
      <c r="I413" t="s">
        <v>1249</v>
      </c>
    </row>
    <row r="414" spans="1:9">
      <c r="A414" s="78" t="s">
        <v>586</v>
      </c>
      <c r="B414" s="78" t="s">
        <v>1245</v>
      </c>
      <c r="C414" s="79" t="s">
        <v>1286</v>
      </c>
      <c r="D414" s="79" t="s">
        <v>1287</v>
      </c>
      <c r="E414" s="80">
        <v>0</v>
      </c>
      <c r="F414" s="80">
        <v>6744600</v>
      </c>
      <c r="G414" s="78">
        <v>371128135</v>
      </c>
      <c r="H414" s="78" t="s">
        <v>1279</v>
      </c>
      <c r="I414" t="s">
        <v>1249</v>
      </c>
    </row>
    <row r="415" spans="1:9">
      <c r="A415" s="78" t="s">
        <v>589</v>
      </c>
      <c r="B415" s="78" t="s">
        <v>1245</v>
      </c>
      <c r="C415" s="79" t="s">
        <v>1288</v>
      </c>
      <c r="D415" s="79" t="s">
        <v>1289</v>
      </c>
      <c r="E415" s="80">
        <v>0</v>
      </c>
      <c r="F415" s="80">
        <v>5024400</v>
      </c>
      <c r="G415" s="78">
        <v>377872735</v>
      </c>
      <c r="H415" s="78" t="s">
        <v>1279</v>
      </c>
      <c r="I415" t="s">
        <v>1249</v>
      </c>
    </row>
    <row r="416" spans="1:9">
      <c r="A416" s="78" t="s">
        <v>592</v>
      </c>
      <c r="B416" s="78" t="s">
        <v>1245</v>
      </c>
      <c r="C416" s="79" t="s">
        <v>1290</v>
      </c>
      <c r="D416" s="79" t="s">
        <v>1291</v>
      </c>
      <c r="E416" s="80">
        <v>0</v>
      </c>
      <c r="F416" s="80">
        <v>701500</v>
      </c>
      <c r="G416" s="78">
        <v>382897135</v>
      </c>
      <c r="H416" s="78" t="s">
        <v>1279</v>
      </c>
      <c r="I416" t="s">
        <v>1249</v>
      </c>
    </row>
    <row r="417" spans="1:9">
      <c r="A417" s="78" t="s">
        <v>595</v>
      </c>
      <c r="B417" s="78" t="s">
        <v>1245</v>
      </c>
      <c r="C417" s="79" t="s">
        <v>1292</v>
      </c>
      <c r="D417" s="79" t="s">
        <v>1293</v>
      </c>
      <c r="E417" s="80">
        <v>0</v>
      </c>
      <c r="F417" s="80">
        <v>6800700</v>
      </c>
      <c r="G417" s="78">
        <v>383598635</v>
      </c>
      <c r="H417" s="78" t="s">
        <v>1279</v>
      </c>
      <c r="I417" t="s">
        <v>1249</v>
      </c>
    </row>
    <row r="418" spans="1:9">
      <c r="A418" s="78" t="s">
        <v>497</v>
      </c>
      <c r="B418" s="78" t="s">
        <v>1245</v>
      </c>
      <c r="C418" s="79" t="s">
        <v>1294</v>
      </c>
      <c r="D418" s="79" t="s">
        <v>1295</v>
      </c>
      <c r="E418" s="80">
        <v>0</v>
      </c>
      <c r="F418" s="80">
        <v>13851500</v>
      </c>
      <c r="G418" s="78">
        <v>390399335</v>
      </c>
      <c r="H418" s="78" t="s">
        <v>1279</v>
      </c>
      <c r="I418" t="s">
        <v>1249</v>
      </c>
    </row>
    <row r="419" spans="1:9">
      <c r="A419" s="78" t="s">
        <v>600</v>
      </c>
      <c r="B419" s="78" t="s">
        <v>1245</v>
      </c>
      <c r="C419" s="79" t="s">
        <v>1296</v>
      </c>
      <c r="D419" s="79" t="s">
        <v>1297</v>
      </c>
      <c r="E419" s="80">
        <v>0</v>
      </c>
      <c r="F419" s="80">
        <v>4030200</v>
      </c>
      <c r="G419" s="78">
        <v>404250835</v>
      </c>
      <c r="H419" s="78" t="s">
        <v>1279</v>
      </c>
      <c r="I419" t="s">
        <v>1249</v>
      </c>
    </row>
    <row r="420" spans="1:9">
      <c r="A420" s="78" t="s">
        <v>603</v>
      </c>
      <c r="B420" s="78" t="s">
        <v>1245</v>
      </c>
      <c r="C420" s="79" t="s">
        <v>1298</v>
      </c>
      <c r="D420" s="79" t="s">
        <v>1299</v>
      </c>
      <c r="E420" s="80">
        <v>0</v>
      </c>
      <c r="F420" s="80">
        <v>13873000</v>
      </c>
      <c r="G420" s="78">
        <v>408281035</v>
      </c>
      <c r="H420" s="78" t="s">
        <v>1279</v>
      </c>
      <c r="I420" t="s">
        <v>1249</v>
      </c>
    </row>
    <row r="421" spans="1:9">
      <c r="A421" s="78" t="s">
        <v>606</v>
      </c>
      <c r="B421" s="78" t="s">
        <v>1245</v>
      </c>
      <c r="C421" s="79" t="s">
        <v>1300</v>
      </c>
      <c r="D421" s="79" t="s">
        <v>1301</v>
      </c>
      <c r="E421" s="80">
        <v>0</v>
      </c>
      <c r="F421" s="80">
        <v>4034600</v>
      </c>
      <c r="G421" s="78">
        <v>422154035</v>
      </c>
      <c r="H421" s="78" t="s">
        <v>1279</v>
      </c>
      <c r="I421" t="s">
        <v>1249</v>
      </c>
    </row>
    <row r="422" spans="1:9">
      <c r="A422" s="78" t="s">
        <v>609</v>
      </c>
      <c r="B422" s="78" t="s">
        <v>1245</v>
      </c>
      <c r="C422" s="79" t="s">
        <v>1302</v>
      </c>
      <c r="D422" s="79" t="s">
        <v>1303</v>
      </c>
      <c r="E422" s="80">
        <v>0</v>
      </c>
      <c r="F422" s="80">
        <v>3001200</v>
      </c>
      <c r="G422" s="78">
        <v>426188635</v>
      </c>
      <c r="H422" s="78" t="s">
        <v>1279</v>
      </c>
      <c r="I422" t="s">
        <v>1249</v>
      </c>
    </row>
    <row r="423" spans="1:9">
      <c r="A423" s="78" t="s">
        <v>612</v>
      </c>
      <c r="B423" s="78" t="s">
        <v>1245</v>
      </c>
      <c r="C423" s="79" t="s">
        <v>1304</v>
      </c>
      <c r="D423" s="79" t="s">
        <v>1305</v>
      </c>
      <c r="E423" s="80">
        <v>0</v>
      </c>
      <c r="F423" s="80">
        <v>9420800</v>
      </c>
      <c r="G423" s="78">
        <v>429189835</v>
      </c>
      <c r="H423" s="78" t="s">
        <v>1279</v>
      </c>
      <c r="I423" t="s">
        <v>1249</v>
      </c>
    </row>
    <row r="424" spans="1:9">
      <c r="A424" s="78" t="s">
        <v>615</v>
      </c>
      <c r="B424" s="78" t="s">
        <v>1245</v>
      </c>
      <c r="C424" s="79" t="s">
        <v>1306</v>
      </c>
      <c r="D424" s="79" t="s">
        <v>1307</v>
      </c>
      <c r="E424" s="80">
        <v>0</v>
      </c>
      <c r="F424" s="80">
        <v>3589400</v>
      </c>
      <c r="G424" s="78">
        <v>438610635</v>
      </c>
      <c r="H424" s="78" t="s">
        <v>1279</v>
      </c>
      <c r="I424" t="s">
        <v>1249</v>
      </c>
    </row>
    <row r="425" spans="1:9">
      <c r="A425" s="78" t="s">
        <v>618</v>
      </c>
      <c r="B425" s="78" t="s">
        <v>1245</v>
      </c>
      <c r="C425" s="79" t="s">
        <v>1308</v>
      </c>
      <c r="D425" s="79" t="s">
        <v>1309</v>
      </c>
      <c r="E425" s="80">
        <v>0</v>
      </c>
      <c r="F425" s="80">
        <v>18582400</v>
      </c>
      <c r="G425" s="78">
        <v>442200035</v>
      </c>
      <c r="H425" s="78" t="s">
        <v>1279</v>
      </c>
      <c r="I425" t="s">
        <v>1249</v>
      </c>
    </row>
    <row r="426" spans="1:9">
      <c r="A426" s="78" t="s">
        <v>621</v>
      </c>
      <c r="B426" s="78" t="s">
        <v>1245</v>
      </c>
      <c r="C426" s="79" t="s">
        <v>1310</v>
      </c>
      <c r="D426" s="79" t="s">
        <v>1311</v>
      </c>
      <c r="E426" s="80">
        <v>0</v>
      </c>
      <c r="F426" s="80">
        <v>6981900</v>
      </c>
      <c r="G426" s="78">
        <v>460782435</v>
      </c>
      <c r="H426" s="78" t="s">
        <v>1279</v>
      </c>
      <c r="I426" t="s">
        <v>1249</v>
      </c>
    </row>
    <row r="427" spans="1:9">
      <c r="A427" s="78" t="s">
        <v>624</v>
      </c>
      <c r="B427" s="78" t="s">
        <v>1245</v>
      </c>
      <c r="C427" s="79" t="s">
        <v>1312</v>
      </c>
      <c r="D427" s="79" t="s">
        <v>1313</v>
      </c>
      <c r="E427" s="80">
        <v>0</v>
      </c>
      <c r="F427" s="80">
        <v>6808200</v>
      </c>
      <c r="G427" s="78">
        <v>467764335</v>
      </c>
      <c r="H427" s="78" t="s">
        <v>1279</v>
      </c>
      <c r="I427" t="s">
        <v>1249</v>
      </c>
    </row>
    <row r="428" spans="1:9">
      <c r="A428" s="78" t="s">
        <v>627</v>
      </c>
      <c r="B428" s="78" t="s">
        <v>1245</v>
      </c>
      <c r="C428" s="79" t="s">
        <v>1314</v>
      </c>
      <c r="D428" s="79" t="s">
        <v>1315</v>
      </c>
      <c r="E428" s="80">
        <v>0</v>
      </c>
      <c r="F428" s="80">
        <v>20177200</v>
      </c>
      <c r="G428" s="78">
        <v>474572535</v>
      </c>
      <c r="H428" s="78" t="s">
        <v>1279</v>
      </c>
      <c r="I428" t="s">
        <v>1249</v>
      </c>
    </row>
    <row r="429" spans="1:9">
      <c r="A429" s="78" t="s">
        <v>630</v>
      </c>
      <c r="B429" s="78" t="s">
        <v>1245</v>
      </c>
      <c r="C429" s="79" t="s">
        <v>1316</v>
      </c>
      <c r="D429" s="79" t="s">
        <v>1317</v>
      </c>
      <c r="E429" s="80">
        <v>0</v>
      </c>
      <c r="F429" s="80">
        <v>7614700</v>
      </c>
      <c r="G429" s="78">
        <v>494749735</v>
      </c>
      <c r="H429" s="78" t="s">
        <v>1279</v>
      </c>
      <c r="I429" t="s">
        <v>1249</v>
      </c>
    </row>
    <row r="430" spans="1:9">
      <c r="A430" s="78" t="s">
        <v>633</v>
      </c>
      <c r="B430" s="78" t="s">
        <v>1245</v>
      </c>
      <c r="C430" s="79" t="s">
        <v>1318</v>
      </c>
      <c r="D430" s="79" t="s">
        <v>1319</v>
      </c>
      <c r="E430" s="80">
        <v>0</v>
      </c>
      <c r="F430" s="80">
        <v>10654700</v>
      </c>
      <c r="G430" s="78">
        <v>502364435</v>
      </c>
      <c r="H430" s="78" t="s">
        <v>1279</v>
      </c>
      <c r="I430" t="s">
        <v>1249</v>
      </c>
    </row>
    <row r="431" spans="1:9">
      <c r="A431" s="78" t="s">
        <v>636</v>
      </c>
      <c r="B431" s="78" t="s">
        <v>1245</v>
      </c>
      <c r="C431" s="79" t="s">
        <v>1320</v>
      </c>
      <c r="D431" s="79" t="s">
        <v>1321</v>
      </c>
      <c r="E431" s="80">
        <v>0</v>
      </c>
      <c r="F431" s="80">
        <v>15274500</v>
      </c>
      <c r="G431" s="78">
        <v>513019135</v>
      </c>
      <c r="H431" s="78" t="s">
        <v>1279</v>
      </c>
      <c r="I431" t="s">
        <v>1249</v>
      </c>
    </row>
    <row r="432" spans="1:9">
      <c r="A432" s="78" t="s">
        <v>639</v>
      </c>
      <c r="B432" s="78" t="s">
        <v>1245</v>
      </c>
      <c r="C432" s="79" t="s">
        <v>1322</v>
      </c>
      <c r="D432" s="79" t="s">
        <v>1323</v>
      </c>
      <c r="E432" s="80">
        <v>0</v>
      </c>
      <c r="F432" s="80">
        <v>2688200</v>
      </c>
      <c r="G432" s="78">
        <v>528293635</v>
      </c>
      <c r="H432" s="78" t="s">
        <v>1279</v>
      </c>
      <c r="I432" t="s">
        <v>1249</v>
      </c>
    </row>
    <row r="433" spans="1:9">
      <c r="A433" s="78" t="s">
        <v>642</v>
      </c>
      <c r="B433" s="78" t="s">
        <v>1245</v>
      </c>
      <c r="C433" s="79" t="s">
        <v>1324</v>
      </c>
      <c r="D433" s="79" t="s">
        <v>1325</v>
      </c>
      <c r="E433" s="80">
        <v>0</v>
      </c>
      <c r="F433" s="80">
        <v>6751800</v>
      </c>
      <c r="G433" s="78">
        <v>530981835</v>
      </c>
      <c r="H433" s="78" t="s">
        <v>1279</v>
      </c>
      <c r="I433" t="s">
        <v>1249</v>
      </c>
    </row>
    <row r="434" spans="1:9">
      <c r="A434" s="78" t="s">
        <v>645</v>
      </c>
      <c r="B434" s="78" t="s">
        <v>1245</v>
      </c>
      <c r="C434" s="79" t="s">
        <v>1326</v>
      </c>
      <c r="D434" s="79" t="s">
        <v>1327</v>
      </c>
      <c r="E434" s="80">
        <v>0</v>
      </c>
      <c r="F434" s="80">
        <v>11863900</v>
      </c>
      <c r="G434" s="78">
        <v>537733635</v>
      </c>
      <c r="H434" s="78" t="s">
        <v>1279</v>
      </c>
      <c r="I434" t="s">
        <v>1249</v>
      </c>
    </row>
    <row r="435" spans="1:9">
      <c r="A435" s="78" t="s">
        <v>648</v>
      </c>
      <c r="B435" s="78" t="s">
        <v>1245</v>
      </c>
      <c r="C435" s="79" t="s">
        <v>1328</v>
      </c>
      <c r="D435" s="79" t="s">
        <v>1329</v>
      </c>
      <c r="E435" s="80">
        <v>0</v>
      </c>
      <c r="F435" s="80">
        <v>3106200</v>
      </c>
      <c r="G435" s="78">
        <v>549597535</v>
      </c>
      <c r="H435" s="78" t="s">
        <v>1279</v>
      </c>
      <c r="I435" t="s">
        <v>1249</v>
      </c>
    </row>
    <row r="436" spans="1:9">
      <c r="A436" s="78" t="s">
        <v>651</v>
      </c>
      <c r="B436" s="78" t="s">
        <v>1245</v>
      </c>
      <c r="C436" s="79" t="s">
        <v>1330</v>
      </c>
      <c r="D436" s="79" t="s">
        <v>1331</v>
      </c>
      <c r="E436" s="80">
        <v>0</v>
      </c>
      <c r="F436" s="80">
        <v>20960400</v>
      </c>
      <c r="G436" s="78">
        <v>552703735</v>
      </c>
      <c r="H436" s="78" t="s">
        <v>1279</v>
      </c>
      <c r="I436" t="s">
        <v>1249</v>
      </c>
    </row>
    <row r="437" spans="1:9">
      <c r="A437" s="78" t="s">
        <v>654</v>
      </c>
      <c r="B437" s="78" t="s">
        <v>1245</v>
      </c>
      <c r="C437" s="79" t="s">
        <v>1332</v>
      </c>
      <c r="D437" s="79" t="s">
        <v>1333</v>
      </c>
      <c r="E437" s="80">
        <v>0</v>
      </c>
      <c r="F437" s="80">
        <v>6706400</v>
      </c>
      <c r="G437" s="78">
        <v>573664135</v>
      </c>
      <c r="H437" s="78" t="s">
        <v>1279</v>
      </c>
      <c r="I437" t="s">
        <v>1249</v>
      </c>
    </row>
    <row r="438" spans="1:9">
      <c r="A438" s="78" t="s">
        <v>657</v>
      </c>
      <c r="B438" s="78" t="s">
        <v>1245</v>
      </c>
      <c r="C438" s="79" t="s">
        <v>1334</v>
      </c>
      <c r="D438" s="79" t="s">
        <v>1335</v>
      </c>
      <c r="E438" s="80">
        <v>0</v>
      </c>
      <c r="F438" s="80">
        <v>25458200</v>
      </c>
      <c r="G438" s="78">
        <v>580370535</v>
      </c>
      <c r="H438" s="78" t="s">
        <v>1279</v>
      </c>
      <c r="I438" t="s">
        <v>1249</v>
      </c>
    </row>
    <row r="439" spans="1:9">
      <c r="A439" s="78" t="s">
        <v>660</v>
      </c>
      <c r="B439" s="78" t="s">
        <v>1245</v>
      </c>
      <c r="C439" s="79" t="s">
        <v>1336</v>
      </c>
      <c r="D439" s="79" t="s">
        <v>1337</v>
      </c>
      <c r="E439" s="80">
        <v>0</v>
      </c>
      <c r="F439" s="80">
        <v>12391900</v>
      </c>
      <c r="G439" s="78">
        <v>605828735</v>
      </c>
      <c r="H439" s="78" t="s">
        <v>1279</v>
      </c>
      <c r="I439" t="s">
        <v>1249</v>
      </c>
    </row>
    <row r="440" spans="1:9">
      <c r="A440" s="78" t="s">
        <v>663</v>
      </c>
      <c r="B440" s="78" t="s">
        <v>1245</v>
      </c>
      <c r="C440" s="79" t="s">
        <v>1338</v>
      </c>
      <c r="D440" s="79" t="s">
        <v>1339</v>
      </c>
      <c r="E440" s="80">
        <v>0</v>
      </c>
      <c r="F440" s="80">
        <v>9527000</v>
      </c>
      <c r="G440" s="78">
        <v>618220635</v>
      </c>
      <c r="H440" s="78" t="s">
        <v>1279</v>
      </c>
      <c r="I440" t="s">
        <v>1249</v>
      </c>
    </row>
    <row r="441" spans="1:9">
      <c r="A441" s="78" t="s">
        <v>666</v>
      </c>
      <c r="B441" s="78" t="s">
        <v>1245</v>
      </c>
      <c r="C441" s="79" t="s">
        <v>1340</v>
      </c>
      <c r="D441" s="79" t="s">
        <v>1341</v>
      </c>
      <c r="E441" s="80">
        <v>0</v>
      </c>
      <c r="F441" s="80">
        <v>7617600</v>
      </c>
      <c r="G441" s="78">
        <v>627747635</v>
      </c>
      <c r="H441" s="78" t="s">
        <v>1279</v>
      </c>
      <c r="I441" t="s">
        <v>1249</v>
      </c>
    </row>
    <row r="442" spans="1:9">
      <c r="A442" s="78" t="s">
        <v>669</v>
      </c>
      <c r="B442" s="78" t="s">
        <v>1245</v>
      </c>
      <c r="C442" s="79" t="s">
        <v>1342</v>
      </c>
      <c r="D442" s="79" t="s">
        <v>1343</v>
      </c>
      <c r="E442" s="80">
        <v>0</v>
      </c>
      <c r="F442" s="80">
        <v>5756200</v>
      </c>
      <c r="G442" s="78">
        <v>635365235</v>
      </c>
      <c r="H442" s="78" t="s">
        <v>1279</v>
      </c>
      <c r="I442" t="s">
        <v>1249</v>
      </c>
    </row>
    <row r="443" spans="1:9">
      <c r="A443" s="78" t="s">
        <v>672</v>
      </c>
      <c r="B443" s="78" t="s">
        <v>1245</v>
      </c>
      <c r="C443" s="79" t="s">
        <v>1344</v>
      </c>
      <c r="D443" s="79" t="s">
        <v>1345</v>
      </c>
      <c r="E443" s="80">
        <v>0</v>
      </c>
      <c r="F443" s="80">
        <v>3108900</v>
      </c>
      <c r="G443" s="78">
        <v>641121435</v>
      </c>
      <c r="H443" s="78" t="s">
        <v>1279</v>
      </c>
      <c r="I443" t="s">
        <v>1249</v>
      </c>
    </row>
    <row r="444" spans="1:9">
      <c r="A444" s="78" t="s">
        <v>675</v>
      </c>
      <c r="B444" s="78" t="s">
        <v>1245</v>
      </c>
      <c r="C444" s="79" t="s">
        <v>1346</v>
      </c>
      <c r="D444" s="79" t="s">
        <v>1347</v>
      </c>
      <c r="E444" s="80">
        <v>0</v>
      </c>
      <c r="F444" s="80">
        <v>6793200</v>
      </c>
      <c r="G444" s="78">
        <v>644230335</v>
      </c>
      <c r="H444" s="78" t="s">
        <v>1279</v>
      </c>
      <c r="I444" t="s">
        <v>1249</v>
      </c>
    </row>
    <row r="445" spans="1:9">
      <c r="A445" s="78" t="s">
        <v>678</v>
      </c>
      <c r="B445" s="78" t="s">
        <v>1245</v>
      </c>
      <c r="C445" s="79" t="s">
        <v>1348</v>
      </c>
      <c r="D445" s="79" t="s">
        <v>1349</v>
      </c>
      <c r="E445" s="80">
        <v>0</v>
      </c>
      <c r="F445" s="80">
        <v>16087500</v>
      </c>
      <c r="G445" s="78">
        <v>651023535</v>
      </c>
      <c r="H445" s="78" t="s">
        <v>1350</v>
      </c>
      <c r="I445" t="s">
        <v>1249</v>
      </c>
    </row>
    <row r="446" spans="1:9">
      <c r="A446" s="78" t="s">
        <v>681</v>
      </c>
      <c r="B446" s="78" t="s">
        <v>1245</v>
      </c>
      <c r="C446" s="79" t="s">
        <v>1351</v>
      </c>
      <c r="D446" s="79" t="s">
        <v>1352</v>
      </c>
      <c r="E446" s="80">
        <v>0</v>
      </c>
      <c r="F446" s="80">
        <v>27169700</v>
      </c>
      <c r="G446" s="78">
        <v>667111035</v>
      </c>
      <c r="H446" s="78" t="s">
        <v>1350</v>
      </c>
      <c r="I446" t="s">
        <v>1249</v>
      </c>
    </row>
    <row r="447" spans="1:9">
      <c r="A447" s="78" t="s">
        <v>684</v>
      </c>
      <c r="B447" s="78" t="s">
        <v>1245</v>
      </c>
      <c r="C447" s="79" t="s">
        <v>1353</v>
      </c>
      <c r="D447" s="79" t="s">
        <v>1354</v>
      </c>
      <c r="E447" s="80">
        <v>0</v>
      </c>
      <c r="F447" s="80">
        <v>10648500</v>
      </c>
      <c r="G447" s="78">
        <v>694280735</v>
      </c>
      <c r="H447" s="78" t="s">
        <v>1350</v>
      </c>
      <c r="I447" t="s">
        <v>1249</v>
      </c>
    </row>
    <row r="448" spans="1:9">
      <c r="A448" s="78" t="s">
        <v>687</v>
      </c>
      <c r="B448" s="78" t="s">
        <v>1245</v>
      </c>
      <c r="C448" s="79" t="s">
        <v>1355</v>
      </c>
      <c r="D448" s="79" t="s">
        <v>1356</v>
      </c>
      <c r="E448" s="80">
        <v>0</v>
      </c>
      <c r="F448" s="80">
        <v>6785700</v>
      </c>
      <c r="G448" s="78">
        <v>704929235</v>
      </c>
      <c r="H448" s="78" t="s">
        <v>1350</v>
      </c>
      <c r="I448" t="s">
        <v>1249</v>
      </c>
    </row>
    <row r="449" spans="1:9">
      <c r="A449" s="78" t="s">
        <v>690</v>
      </c>
      <c r="B449" s="78" t="s">
        <v>1245</v>
      </c>
      <c r="C449" s="79" t="s">
        <v>1357</v>
      </c>
      <c r="D449" s="79" t="s">
        <v>1358</v>
      </c>
      <c r="E449" s="80">
        <v>0</v>
      </c>
      <c r="F449" s="80">
        <v>9426900</v>
      </c>
      <c r="G449" s="78">
        <v>711714935</v>
      </c>
      <c r="H449" s="78" t="s">
        <v>1350</v>
      </c>
      <c r="I449" t="s">
        <v>1249</v>
      </c>
    </row>
    <row r="450" spans="1:9">
      <c r="A450" s="78" t="s">
        <v>693</v>
      </c>
      <c r="B450" s="78" t="s">
        <v>1245</v>
      </c>
      <c r="C450" s="79" t="s">
        <v>1359</v>
      </c>
      <c r="D450" s="79" t="s">
        <v>1360</v>
      </c>
      <c r="E450" s="80">
        <v>0</v>
      </c>
      <c r="F450" s="80">
        <v>6713900</v>
      </c>
      <c r="G450" s="78">
        <v>721141835</v>
      </c>
      <c r="H450" s="78" t="s">
        <v>1350</v>
      </c>
      <c r="I450" t="s">
        <v>1249</v>
      </c>
    </row>
    <row r="451" spans="1:9">
      <c r="A451" s="78" t="s">
        <v>696</v>
      </c>
      <c r="B451" s="78" t="s">
        <v>1245</v>
      </c>
      <c r="C451" s="79" t="s">
        <v>1361</v>
      </c>
      <c r="D451" s="79" t="s">
        <v>1362</v>
      </c>
      <c r="E451" s="80">
        <v>0</v>
      </c>
      <c r="F451" s="80">
        <v>596500</v>
      </c>
      <c r="G451" s="78">
        <v>727855735</v>
      </c>
      <c r="H451" s="78" t="s">
        <v>1350</v>
      </c>
      <c r="I451" t="s">
        <v>1249</v>
      </c>
    </row>
    <row r="452" spans="1:9">
      <c r="A452" s="78" t="s">
        <v>699</v>
      </c>
      <c r="B452" s="78" t="s">
        <v>1245</v>
      </c>
      <c r="C452" s="79" t="s">
        <v>1363</v>
      </c>
      <c r="D452" s="79" t="s">
        <v>1364</v>
      </c>
      <c r="E452" s="80">
        <v>0</v>
      </c>
      <c r="F452" s="80">
        <v>532300</v>
      </c>
      <c r="G452" s="78">
        <v>728452235</v>
      </c>
      <c r="H452" s="78" t="s">
        <v>1350</v>
      </c>
      <c r="I452" t="s">
        <v>1249</v>
      </c>
    </row>
    <row r="453" spans="1:9">
      <c r="A453" s="78" t="s">
        <v>702</v>
      </c>
      <c r="B453" s="78" t="s">
        <v>1245</v>
      </c>
      <c r="C453" s="79" t="s">
        <v>1365</v>
      </c>
      <c r="D453" s="79" t="s">
        <v>1366</v>
      </c>
      <c r="E453" s="80">
        <v>0</v>
      </c>
      <c r="F453" s="80">
        <v>19666500</v>
      </c>
      <c r="G453" s="78">
        <v>728984535</v>
      </c>
      <c r="H453" s="78" t="s">
        <v>1350</v>
      </c>
      <c r="I453" t="s">
        <v>1249</v>
      </c>
    </row>
    <row r="454" spans="1:9">
      <c r="A454" s="78" t="s">
        <v>705</v>
      </c>
      <c r="B454" s="78" t="s">
        <v>1245</v>
      </c>
      <c r="C454" s="79" t="s">
        <v>1367</v>
      </c>
      <c r="D454" s="79" t="s">
        <v>1368</v>
      </c>
      <c r="E454" s="80">
        <v>0</v>
      </c>
      <c r="F454" s="80">
        <v>13360200</v>
      </c>
      <c r="G454" s="78">
        <v>748651035</v>
      </c>
      <c r="H454" s="78" t="s">
        <v>1350</v>
      </c>
      <c r="I454" t="s">
        <v>1249</v>
      </c>
    </row>
    <row r="455" spans="1:9">
      <c r="A455" s="78" t="s">
        <v>708</v>
      </c>
      <c r="B455" s="78" t="s">
        <v>1245</v>
      </c>
      <c r="C455" s="79" t="s">
        <v>1369</v>
      </c>
      <c r="D455" s="79" t="s">
        <v>1370</v>
      </c>
      <c r="E455" s="80">
        <v>300000000</v>
      </c>
      <c r="F455" s="80">
        <v>0</v>
      </c>
      <c r="G455" s="78">
        <v>762011235</v>
      </c>
      <c r="H455" s="78" t="s">
        <v>1371</v>
      </c>
      <c r="I455" t="s">
        <v>1249</v>
      </c>
    </row>
    <row r="456" spans="1:9">
      <c r="A456" s="78" t="s">
        <v>711</v>
      </c>
      <c r="B456" s="78" t="s">
        <v>1245</v>
      </c>
      <c r="C456" s="79" t="s">
        <v>1372</v>
      </c>
      <c r="D456" s="79" t="s">
        <v>1373</v>
      </c>
      <c r="E456" s="80">
        <v>400000000</v>
      </c>
      <c r="F456" s="80">
        <v>0</v>
      </c>
      <c r="G456" s="78">
        <v>462011235</v>
      </c>
      <c r="H456" s="78" t="s">
        <v>1371</v>
      </c>
      <c r="I456" t="s">
        <v>1249</v>
      </c>
    </row>
    <row r="457" spans="1:9">
      <c r="A457" s="78" t="s">
        <v>714</v>
      </c>
      <c r="B457" s="78" t="s">
        <v>1374</v>
      </c>
      <c r="C457" s="79" t="s">
        <v>1375</v>
      </c>
      <c r="D457" s="79" t="s">
        <v>1376</v>
      </c>
      <c r="E457" s="80">
        <v>0</v>
      </c>
      <c r="F457" s="80">
        <v>145516</v>
      </c>
      <c r="G457" s="78">
        <v>62011235</v>
      </c>
      <c r="H457" s="78" t="s">
        <v>1377</v>
      </c>
      <c r="I457" t="s">
        <v>1249</v>
      </c>
    </row>
    <row r="458" spans="1:9">
      <c r="A458" s="78" t="s">
        <v>717</v>
      </c>
      <c r="B458" s="78" t="s">
        <v>1374</v>
      </c>
      <c r="C458" s="79" t="s">
        <v>1378</v>
      </c>
      <c r="D458" s="79" t="s">
        <v>1379</v>
      </c>
      <c r="E458" s="80">
        <v>0</v>
      </c>
      <c r="F458" s="80">
        <v>6137991</v>
      </c>
      <c r="G458" s="78">
        <v>62156751</v>
      </c>
      <c r="H458" s="78" t="s">
        <v>1377</v>
      </c>
      <c r="I458" t="s">
        <v>1249</v>
      </c>
    </row>
    <row r="459" spans="1:9">
      <c r="A459" s="78" t="s">
        <v>720</v>
      </c>
      <c r="B459" s="78" t="s">
        <v>1374</v>
      </c>
      <c r="C459" s="79" t="s">
        <v>1380</v>
      </c>
      <c r="D459" s="79" t="s">
        <v>1381</v>
      </c>
      <c r="E459" s="80">
        <v>0</v>
      </c>
      <c r="F459" s="80">
        <v>983327</v>
      </c>
      <c r="G459" s="78">
        <v>68294742</v>
      </c>
      <c r="H459" s="78" t="s">
        <v>1377</v>
      </c>
      <c r="I459" t="s">
        <v>1249</v>
      </c>
    </row>
    <row r="460" spans="1:9">
      <c r="A460" s="78" t="s">
        <v>723</v>
      </c>
      <c r="B460" s="78" t="s">
        <v>1374</v>
      </c>
      <c r="C460" s="79" t="s">
        <v>1382</v>
      </c>
      <c r="D460" s="79" t="s">
        <v>1383</v>
      </c>
      <c r="E460" s="80">
        <v>0</v>
      </c>
      <c r="F460" s="80">
        <v>241914</v>
      </c>
      <c r="G460" s="78">
        <v>69278069</v>
      </c>
      <c r="H460" s="78" t="s">
        <v>1377</v>
      </c>
      <c r="I460" t="s">
        <v>1249</v>
      </c>
    </row>
    <row r="461" spans="1:9">
      <c r="A461" s="78" t="s">
        <v>726</v>
      </c>
      <c r="B461" s="78" t="s">
        <v>1374</v>
      </c>
      <c r="C461" s="79" t="s">
        <v>1384</v>
      </c>
      <c r="D461" s="79" t="s">
        <v>1385</v>
      </c>
      <c r="E461" s="80">
        <v>0</v>
      </c>
      <c r="F461" s="80">
        <v>187436</v>
      </c>
      <c r="G461" s="78">
        <v>69519983</v>
      </c>
      <c r="H461" s="78" t="s">
        <v>1377</v>
      </c>
      <c r="I461" t="s">
        <v>1249</v>
      </c>
    </row>
    <row r="462" spans="1:9">
      <c r="A462" s="78" t="s">
        <v>729</v>
      </c>
      <c r="B462" s="78" t="s">
        <v>1374</v>
      </c>
      <c r="C462" s="79" t="s">
        <v>1386</v>
      </c>
      <c r="D462" s="79" t="s">
        <v>1387</v>
      </c>
      <c r="E462" s="80">
        <v>0</v>
      </c>
      <c r="F462" s="80">
        <v>510025</v>
      </c>
      <c r="G462" s="78">
        <v>69707419</v>
      </c>
      <c r="H462" s="78" t="s">
        <v>1377</v>
      </c>
      <c r="I462" t="s">
        <v>1249</v>
      </c>
    </row>
    <row r="463" spans="1:9">
      <c r="A463" s="78" t="s">
        <v>732</v>
      </c>
      <c r="B463" s="78" t="s">
        <v>1374</v>
      </c>
      <c r="C463" s="79" t="s">
        <v>1388</v>
      </c>
      <c r="D463" s="79" t="s">
        <v>1389</v>
      </c>
      <c r="E463" s="80">
        <v>0</v>
      </c>
      <c r="F463" s="80">
        <v>187436</v>
      </c>
      <c r="G463" s="78">
        <v>70217444</v>
      </c>
      <c r="H463" s="78" t="s">
        <v>1377</v>
      </c>
      <c r="I463" t="s">
        <v>1249</v>
      </c>
    </row>
    <row r="464" spans="1:9">
      <c r="A464" s="78" t="s">
        <v>735</v>
      </c>
      <c r="B464" s="78" t="s">
        <v>1374</v>
      </c>
      <c r="C464" s="79" t="s">
        <v>1390</v>
      </c>
      <c r="D464" s="79" t="s">
        <v>1391</v>
      </c>
      <c r="E464" s="80">
        <v>0</v>
      </c>
      <c r="F464" s="80">
        <v>5181788</v>
      </c>
      <c r="G464" s="78">
        <v>70404880</v>
      </c>
      <c r="H464" s="78" t="s">
        <v>1377</v>
      </c>
      <c r="I464" t="s">
        <v>1249</v>
      </c>
    </row>
    <row r="465" spans="1:9">
      <c r="A465" s="78" t="s">
        <v>738</v>
      </c>
      <c r="B465" s="78" t="s">
        <v>1374</v>
      </c>
      <c r="C465" s="79" t="s">
        <v>1392</v>
      </c>
      <c r="D465" s="79" t="s">
        <v>1393</v>
      </c>
      <c r="E465" s="80">
        <v>0</v>
      </c>
      <c r="F465" s="80">
        <v>187436</v>
      </c>
      <c r="G465" s="78">
        <v>75586668</v>
      </c>
      <c r="H465" s="78" t="s">
        <v>1377</v>
      </c>
      <c r="I465" t="s">
        <v>1249</v>
      </c>
    </row>
    <row r="466" spans="1:9">
      <c r="A466" s="78" t="s">
        <v>741</v>
      </c>
      <c r="B466" s="78" t="s">
        <v>1374</v>
      </c>
      <c r="C466" s="79" t="s">
        <v>1394</v>
      </c>
      <c r="D466" s="79" t="s">
        <v>1395</v>
      </c>
      <c r="E466" s="80">
        <v>0</v>
      </c>
      <c r="F466" s="80">
        <v>2189248</v>
      </c>
      <c r="G466" s="78">
        <v>75774104</v>
      </c>
      <c r="H466" s="78" t="s">
        <v>1377</v>
      </c>
      <c r="I466" t="s">
        <v>1249</v>
      </c>
    </row>
    <row r="467" spans="1:9">
      <c r="A467" s="78" t="s">
        <v>744</v>
      </c>
      <c r="B467" s="78" t="s">
        <v>1374</v>
      </c>
      <c r="C467" s="79" t="s">
        <v>1396</v>
      </c>
      <c r="D467" s="79" t="s">
        <v>1397</v>
      </c>
      <c r="E467" s="80">
        <v>0</v>
      </c>
      <c r="F467" s="80">
        <v>510025</v>
      </c>
      <c r="G467" s="78">
        <v>77963352</v>
      </c>
      <c r="H467" s="78" t="s">
        <v>1377</v>
      </c>
      <c r="I467" t="s">
        <v>1249</v>
      </c>
    </row>
    <row r="468" spans="1:9">
      <c r="A468" s="78" t="s">
        <v>747</v>
      </c>
      <c r="B468" s="78" t="s">
        <v>1374</v>
      </c>
      <c r="C468" s="79" t="s">
        <v>1398</v>
      </c>
      <c r="D468" s="79" t="s">
        <v>1399</v>
      </c>
      <c r="E468" s="80">
        <v>0</v>
      </c>
      <c r="F468" s="80">
        <v>7356218</v>
      </c>
      <c r="G468" s="78">
        <v>78473377</v>
      </c>
      <c r="H468" s="78" t="s">
        <v>1377</v>
      </c>
      <c r="I468" t="s">
        <v>1249</v>
      </c>
    </row>
    <row r="469" spans="1:9">
      <c r="A469" s="78" t="s">
        <v>750</v>
      </c>
      <c r="B469" s="78" t="s">
        <v>1374</v>
      </c>
      <c r="C469" s="79" t="s">
        <v>1400</v>
      </c>
      <c r="D469" s="79" t="s">
        <v>1401</v>
      </c>
      <c r="E469" s="80">
        <v>0</v>
      </c>
      <c r="F469" s="80">
        <v>459796</v>
      </c>
      <c r="G469" s="78">
        <v>85829595</v>
      </c>
      <c r="H469" s="78" t="s">
        <v>1377</v>
      </c>
      <c r="I469" t="s">
        <v>1249</v>
      </c>
    </row>
    <row r="470" spans="1:9">
      <c r="A470" s="78" t="s">
        <v>753</v>
      </c>
      <c r="B470" s="78" t="s">
        <v>1374</v>
      </c>
      <c r="C470" s="79" t="s">
        <v>1402</v>
      </c>
      <c r="D470" s="79" t="s">
        <v>1403</v>
      </c>
      <c r="E470" s="80">
        <v>0</v>
      </c>
      <c r="F470" s="80">
        <v>187436</v>
      </c>
      <c r="G470" s="78">
        <v>86289391</v>
      </c>
      <c r="H470" s="78" t="s">
        <v>1377</v>
      </c>
      <c r="I470" t="s">
        <v>1249</v>
      </c>
    </row>
    <row r="471" spans="1:9">
      <c r="A471" s="78" t="s">
        <v>756</v>
      </c>
      <c r="B471" s="78" t="s">
        <v>1374</v>
      </c>
      <c r="C471" s="79" t="s">
        <v>1404</v>
      </c>
      <c r="D471" s="79" t="s">
        <v>1405</v>
      </c>
      <c r="E471" s="80">
        <v>0</v>
      </c>
      <c r="F471" s="80">
        <v>388509</v>
      </c>
      <c r="G471" s="78">
        <v>86476827</v>
      </c>
      <c r="H471" s="78" t="s">
        <v>1377</v>
      </c>
      <c r="I471" t="s">
        <v>1249</v>
      </c>
    </row>
    <row r="472" spans="1:9">
      <c r="A472" s="78" t="s">
        <v>759</v>
      </c>
      <c r="B472" s="78" t="s">
        <v>1374</v>
      </c>
      <c r="C472" s="79" t="s">
        <v>1406</v>
      </c>
      <c r="D472" s="79" t="s">
        <v>1407</v>
      </c>
      <c r="E472" s="80">
        <v>0</v>
      </c>
      <c r="F472" s="80">
        <v>196855</v>
      </c>
      <c r="G472" s="78">
        <v>86865336</v>
      </c>
      <c r="H472" s="78" t="s">
        <v>1377</v>
      </c>
      <c r="I472" t="s">
        <v>1249</v>
      </c>
    </row>
    <row r="473" spans="1:9">
      <c r="A473" s="78" t="s">
        <v>762</v>
      </c>
      <c r="B473" s="78" t="s">
        <v>1374</v>
      </c>
      <c r="C473" s="79" t="s">
        <v>1408</v>
      </c>
      <c r="D473" s="79" t="s">
        <v>1409</v>
      </c>
      <c r="E473" s="80">
        <v>0</v>
      </c>
      <c r="F473" s="80">
        <v>6265173</v>
      </c>
      <c r="G473" s="78">
        <v>87062191</v>
      </c>
      <c r="H473" s="78" t="s">
        <v>1377</v>
      </c>
      <c r="I473" t="s">
        <v>1249</v>
      </c>
    </row>
    <row r="474" spans="1:9">
      <c r="A474" s="78" t="s">
        <v>765</v>
      </c>
      <c r="B474" s="78" t="s">
        <v>1374</v>
      </c>
      <c r="C474" s="79" t="s">
        <v>1410</v>
      </c>
      <c r="D474" s="79" t="s">
        <v>1411</v>
      </c>
      <c r="E474" s="80">
        <v>0</v>
      </c>
      <c r="F474" s="80">
        <v>8967677</v>
      </c>
      <c r="G474" s="78">
        <v>93327364</v>
      </c>
      <c r="H474" s="78" t="s">
        <v>1377</v>
      </c>
      <c r="I474" t="s">
        <v>1249</v>
      </c>
    </row>
    <row r="475" spans="1:9">
      <c r="A475" s="78" t="s">
        <v>768</v>
      </c>
      <c r="B475" s="78" t="s">
        <v>1374</v>
      </c>
      <c r="C475" s="79" t="s">
        <v>1412</v>
      </c>
      <c r="D475" s="79" t="s">
        <v>1413</v>
      </c>
      <c r="E475" s="80">
        <v>0</v>
      </c>
      <c r="F475" s="80">
        <v>8129055</v>
      </c>
      <c r="G475" s="78">
        <v>102295041</v>
      </c>
      <c r="H475" s="78" t="s">
        <v>1377</v>
      </c>
      <c r="I475" t="s">
        <v>1249</v>
      </c>
    </row>
    <row r="476" spans="1:9">
      <c r="A476" s="78" t="s">
        <v>771</v>
      </c>
      <c r="B476" s="78" t="s">
        <v>1374</v>
      </c>
      <c r="C476" s="79" t="s">
        <v>1414</v>
      </c>
      <c r="D476" s="79" t="s">
        <v>1415</v>
      </c>
      <c r="E476" s="80">
        <v>0</v>
      </c>
      <c r="F476" s="80">
        <v>9021271</v>
      </c>
      <c r="G476" s="78">
        <v>110424096</v>
      </c>
      <c r="H476" s="78" t="s">
        <v>1377</v>
      </c>
      <c r="I476" t="s">
        <v>1249</v>
      </c>
    </row>
    <row r="477" spans="1:9">
      <c r="A477" s="78" t="s">
        <v>774</v>
      </c>
      <c r="B477" s="78" t="s">
        <v>1374</v>
      </c>
      <c r="C477" s="79" t="s">
        <v>1416</v>
      </c>
      <c r="D477" s="79" t="s">
        <v>1417</v>
      </c>
      <c r="E477" s="80">
        <v>0</v>
      </c>
      <c r="F477" s="80">
        <v>5191208</v>
      </c>
      <c r="G477" s="78">
        <v>119445367</v>
      </c>
      <c r="H477" s="78" t="s">
        <v>1377</v>
      </c>
      <c r="I477" t="s">
        <v>1249</v>
      </c>
    </row>
    <row r="478" spans="1:9">
      <c r="A478" s="78" t="s">
        <v>777</v>
      </c>
      <c r="B478" s="78" t="s">
        <v>1374</v>
      </c>
      <c r="C478" s="79" t="s">
        <v>1418</v>
      </c>
      <c r="D478" s="79" t="s">
        <v>1419</v>
      </c>
      <c r="E478" s="80">
        <v>0</v>
      </c>
      <c r="F478" s="80">
        <v>5606462</v>
      </c>
      <c r="G478" s="78">
        <v>124636575</v>
      </c>
      <c r="H478" s="78" t="s">
        <v>1377</v>
      </c>
      <c r="I478" t="s">
        <v>1249</v>
      </c>
    </row>
    <row r="479" spans="1:9">
      <c r="A479" s="78" t="s">
        <v>780</v>
      </c>
      <c r="B479" s="78" t="s">
        <v>1374</v>
      </c>
      <c r="C479" s="79" t="s">
        <v>1420</v>
      </c>
      <c r="D479" s="79" t="s">
        <v>1421</v>
      </c>
      <c r="E479" s="80">
        <v>0</v>
      </c>
      <c r="F479" s="80">
        <v>1137845</v>
      </c>
      <c r="G479" s="78">
        <v>130243037</v>
      </c>
      <c r="H479" s="78" t="s">
        <v>1377</v>
      </c>
      <c r="I479" t="s">
        <v>1249</v>
      </c>
    </row>
    <row r="480" spans="1:9">
      <c r="A480" s="78" t="s">
        <v>782</v>
      </c>
      <c r="B480" s="78" t="s">
        <v>1374</v>
      </c>
      <c r="C480" s="79" t="s">
        <v>1422</v>
      </c>
      <c r="D480" s="79" t="s">
        <v>1423</v>
      </c>
      <c r="E480" s="80">
        <v>0</v>
      </c>
      <c r="F480" s="80">
        <v>45658596</v>
      </c>
      <c r="G480" s="78">
        <v>131380882</v>
      </c>
      <c r="H480" s="78" t="s">
        <v>1377</v>
      </c>
      <c r="I480" t="s">
        <v>1249</v>
      </c>
    </row>
    <row r="481" spans="1:9">
      <c r="A481" s="78" t="s">
        <v>785</v>
      </c>
      <c r="B481" s="78" t="s">
        <v>1374</v>
      </c>
      <c r="C481" s="79" t="s">
        <v>1424</v>
      </c>
      <c r="D481" s="79" t="s">
        <v>1425</v>
      </c>
      <c r="E481" s="80">
        <v>0</v>
      </c>
      <c r="F481" s="80">
        <v>267030</v>
      </c>
      <c r="G481" s="78">
        <v>177039478</v>
      </c>
      <c r="H481" s="78" t="s">
        <v>1377</v>
      </c>
      <c r="I481" t="s">
        <v>1249</v>
      </c>
    </row>
    <row r="482" spans="1:9">
      <c r="A482" s="78" t="s">
        <v>788</v>
      </c>
      <c r="B482" s="78" t="s">
        <v>1374</v>
      </c>
      <c r="C482" s="79" t="s">
        <v>1426</v>
      </c>
      <c r="D482" s="79" t="s">
        <v>1427</v>
      </c>
      <c r="E482" s="80">
        <v>0</v>
      </c>
      <c r="F482" s="80">
        <v>317263</v>
      </c>
      <c r="G482" s="78">
        <v>177306508</v>
      </c>
      <c r="H482" s="78" t="s">
        <v>1377</v>
      </c>
      <c r="I482" t="s">
        <v>1249</v>
      </c>
    </row>
    <row r="483" spans="1:9">
      <c r="A483" s="78" t="s">
        <v>791</v>
      </c>
      <c r="B483" s="78" t="s">
        <v>1374</v>
      </c>
      <c r="C483" s="79" t="s">
        <v>1428</v>
      </c>
      <c r="D483" s="79" t="s">
        <v>1429</v>
      </c>
      <c r="E483" s="80">
        <v>0</v>
      </c>
      <c r="F483" s="80">
        <v>3769998</v>
      </c>
      <c r="G483" s="78">
        <v>177623771</v>
      </c>
      <c r="H483" s="78" t="s">
        <v>1430</v>
      </c>
      <c r="I483" t="s">
        <v>1249</v>
      </c>
    </row>
    <row r="484" spans="1:9">
      <c r="A484" s="78" t="s">
        <v>794</v>
      </c>
      <c r="B484" s="78" t="s">
        <v>1374</v>
      </c>
      <c r="C484" s="79" t="s">
        <v>1431</v>
      </c>
      <c r="D484" s="79" t="s">
        <v>1432</v>
      </c>
      <c r="E484" s="80">
        <v>0</v>
      </c>
      <c r="F484" s="80">
        <v>11042465</v>
      </c>
      <c r="G484" s="78">
        <v>181393769</v>
      </c>
      <c r="H484" s="78" t="s">
        <v>1430</v>
      </c>
      <c r="I484" t="s">
        <v>1249</v>
      </c>
    </row>
    <row r="485" spans="1:9">
      <c r="A485" s="78" t="s">
        <v>797</v>
      </c>
      <c r="B485" s="78" t="s">
        <v>1374</v>
      </c>
      <c r="C485" s="79" t="s">
        <v>1433</v>
      </c>
      <c r="D485" s="79" t="s">
        <v>1434</v>
      </c>
      <c r="E485" s="80">
        <v>0</v>
      </c>
      <c r="F485" s="80">
        <v>145516</v>
      </c>
      <c r="G485" s="78">
        <v>192436234</v>
      </c>
      <c r="H485" s="78" t="s">
        <v>1430</v>
      </c>
      <c r="I485" t="s">
        <v>1249</v>
      </c>
    </row>
    <row r="486" spans="1:9">
      <c r="A486" s="78" t="s">
        <v>800</v>
      </c>
      <c r="B486" s="78" t="s">
        <v>1374</v>
      </c>
      <c r="C486" s="79" t="s">
        <v>1435</v>
      </c>
      <c r="D486" s="79" t="s">
        <v>1436</v>
      </c>
      <c r="E486" s="80">
        <v>0</v>
      </c>
      <c r="F486" s="80">
        <v>267030</v>
      </c>
      <c r="G486" s="78">
        <v>192581750</v>
      </c>
      <c r="H486" s="78" t="s">
        <v>1430</v>
      </c>
      <c r="I486" t="s">
        <v>1249</v>
      </c>
    </row>
    <row r="487" spans="1:9">
      <c r="A487" s="78" t="s">
        <v>803</v>
      </c>
      <c r="B487" s="78" t="s">
        <v>1374</v>
      </c>
      <c r="C487" s="79" t="s">
        <v>1437</v>
      </c>
      <c r="D487" s="79" t="s">
        <v>1438</v>
      </c>
      <c r="E487" s="80">
        <v>0</v>
      </c>
      <c r="F487" s="80">
        <v>5405929</v>
      </c>
      <c r="G487" s="78">
        <v>192848780</v>
      </c>
      <c r="H487" s="78" t="s">
        <v>1430</v>
      </c>
      <c r="I487" t="s">
        <v>1249</v>
      </c>
    </row>
    <row r="488" spans="1:9">
      <c r="A488" s="78" t="s">
        <v>806</v>
      </c>
      <c r="B488" s="78" t="s">
        <v>1374</v>
      </c>
      <c r="C488" s="79" t="s">
        <v>1439</v>
      </c>
      <c r="D488" s="79" t="s">
        <v>1440</v>
      </c>
      <c r="E488" s="80">
        <v>0</v>
      </c>
      <c r="F488" s="80">
        <v>14389787</v>
      </c>
      <c r="G488" s="78">
        <v>198254709</v>
      </c>
      <c r="H488" s="78" t="s">
        <v>1430</v>
      </c>
      <c r="I488" t="s">
        <v>1249</v>
      </c>
    </row>
    <row r="489" spans="1:9">
      <c r="A489" s="78" t="s">
        <v>809</v>
      </c>
      <c r="B489" s="78" t="s">
        <v>1374</v>
      </c>
      <c r="C489" s="79" t="s">
        <v>1441</v>
      </c>
      <c r="D489" s="79" t="s">
        <v>1442</v>
      </c>
      <c r="E489" s="80">
        <v>0</v>
      </c>
      <c r="F489" s="80">
        <v>10809424</v>
      </c>
      <c r="G489" s="78">
        <v>212644496</v>
      </c>
      <c r="H489" s="78" t="s">
        <v>1430</v>
      </c>
      <c r="I489" t="s">
        <v>1249</v>
      </c>
    </row>
    <row r="490" spans="1:9">
      <c r="A490" s="78" t="s">
        <v>812</v>
      </c>
      <c r="B490" s="78" t="s">
        <v>1374</v>
      </c>
      <c r="C490" s="79" t="s">
        <v>1443</v>
      </c>
      <c r="D490" s="79" t="s">
        <v>1444</v>
      </c>
      <c r="E490" s="80">
        <v>0</v>
      </c>
      <c r="F490" s="80">
        <v>254472</v>
      </c>
      <c r="G490" s="78">
        <v>223453920</v>
      </c>
      <c r="H490" s="78" t="s">
        <v>1430</v>
      </c>
      <c r="I490" t="s">
        <v>1249</v>
      </c>
    </row>
    <row r="491" spans="1:9">
      <c r="A491" s="78" t="s">
        <v>815</v>
      </c>
      <c r="B491" s="78" t="s">
        <v>1374</v>
      </c>
      <c r="C491" s="79" t="s">
        <v>1445</v>
      </c>
      <c r="D491" s="79" t="s">
        <v>1446</v>
      </c>
      <c r="E491" s="80">
        <v>0</v>
      </c>
      <c r="F491" s="80">
        <v>187436</v>
      </c>
      <c r="G491" s="78">
        <v>223708392</v>
      </c>
      <c r="H491" s="78" t="s">
        <v>1430</v>
      </c>
      <c r="I491" t="s">
        <v>1249</v>
      </c>
    </row>
    <row r="492" spans="1:9">
      <c r="A492" s="78" t="s">
        <v>818</v>
      </c>
      <c r="B492" s="78" t="s">
        <v>1374</v>
      </c>
      <c r="C492" s="79" t="s">
        <v>1447</v>
      </c>
      <c r="D492" s="79" t="s">
        <v>1448</v>
      </c>
      <c r="E492" s="80">
        <v>0</v>
      </c>
      <c r="F492" s="80">
        <v>39801106</v>
      </c>
      <c r="G492" s="78">
        <v>223895828</v>
      </c>
      <c r="H492" s="78" t="s">
        <v>1430</v>
      </c>
      <c r="I492" t="s">
        <v>1249</v>
      </c>
    </row>
    <row r="493" spans="1:9">
      <c r="A493" s="78" t="s">
        <v>821</v>
      </c>
      <c r="B493" s="78" t="s">
        <v>1374</v>
      </c>
      <c r="C493" s="79" t="s">
        <v>1449</v>
      </c>
      <c r="D493" s="79" t="s">
        <v>1450</v>
      </c>
      <c r="E493" s="80">
        <v>0</v>
      </c>
      <c r="F493" s="80">
        <v>1756100</v>
      </c>
      <c r="G493" s="78">
        <v>263696934</v>
      </c>
      <c r="H493" s="78" t="s">
        <v>1430</v>
      </c>
      <c r="I493" t="s">
        <v>1249</v>
      </c>
    </row>
    <row r="494" spans="1:9">
      <c r="A494" s="78" t="s">
        <v>824</v>
      </c>
      <c r="B494" s="78" t="s">
        <v>1374</v>
      </c>
      <c r="C494" s="79" t="s">
        <v>1451</v>
      </c>
      <c r="D494" s="79" t="s">
        <v>1452</v>
      </c>
      <c r="E494" s="80">
        <v>0</v>
      </c>
      <c r="F494" s="80">
        <v>206274</v>
      </c>
      <c r="G494" s="78">
        <v>265453034</v>
      </c>
      <c r="H494" s="78" t="s">
        <v>1430</v>
      </c>
      <c r="I494" t="s">
        <v>1249</v>
      </c>
    </row>
    <row r="495" spans="1:9">
      <c r="A495" s="78" t="s">
        <v>827</v>
      </c>
      <c r="B495" s="78" t="s">
        <v>1374</v>
      </c>
      <c r="C495" s="79" t="s">
        <v>1453</v>
      </c>
      <c r="D495" s="79" t="s">
        <v>1454</v>
      </c>
      <c r="E495" s="80">
        <v>0</v>
      </c>
      <c r="F495" s="80">
        <v>206274</v>
      </c>
      <c r="G495" s="78">
        <v>265659308</v>
      </c>
      <c r="H495" s="78" t="s">
        <v>1430</v>
      </c>
      <c r="I495" t="s">
        <v>1249</v>
      </c>
    </row>
    <row r="496" spans="1:9">
      <c r="A496" s="78" t="s">
        <v>830</v>
      </c>
      <c r="B496" s="78" t="s">
        <v>1374</v>
      </c>
      <c r="C496" s="79" t="s">
        <v>1455</v>
      </c>
      <c r="D496" s="79" t="s">
        <v>1456</v>
      </c>
      <c r="E496" s="80">
        <v>0</v>
      </c>
      <c r="F496" s="80">
        <v>253980</v>
      </c>
      <c r="G496" s="78">
        <v>265865582</v>
      </c>
      <c r="H496" s="78" t="s">
        <v>1430</v>
      </c>
      <c r="I496" t="s">
        <v>1249</v>
      </c>
    </row>
    <row r="497" spans="1:9">
      <c r="A497" s="78" t="s">
        <v>833</v>
      </c>
      <c r="B497" s="78" t="s">
        <v>1374</v>
      </c>
      <c r="C497" s="79" t="s">
        <v>1457</v>
      </c>
      <c r="D497" s="79" t="s">
        <v>1458</v>
      </c>
      <c r="E497" s="80">
        <v>220000000</v>
      </c>
      <c r="F497" s="80">
        <v>0</v>
      </c>
      <c r="G497" s="78">
        <v>266119562</v>
      </c>
      <c r="H497" s="78" t="s">
        <v>1459</v>
      </c>
      <c r="I497" t="s">
        <v>1249</v>
      </c>
    </row>
    <row r="498" spans="1:9">
      <c r="A498" s="78" t="s">
        <v>836</v>
      </c>
      <c r="B498" s="78" t="s">
        <v>1460</v>
      </c>
      <c r="C498" s="79" t="s">
        <v>1461</v>
      </c>
      <c r="D498" s="79" t="s">
        <v>1462</v>
      </c>
      <c r="E498" s="80">
        <v>0</v>
      </c>
      <c r="F498" s="80">
        <v>18846668</v>
      </c>
      <c r="G498" s="78">
        <v>46119562</v>
      </c>
      <c r="H498" s="78" t="s">
        <v>1463</v>
      </c>
      <c r="I498" t="s">
        <v>1249</v>
      </c>
    </row>
    <row r="499" spans="1:9">
      <c r="A499" s="78" t="s">
        <v>839</v>
      </c>
      <c r="B499" s="78" t="s">
        <v>1460</v>
      </c>
      <c r="C499" s="79" t="s">
        <v>1464</v>
      </c>
      <c r="D499" s="79" t="s">
        <v>1465</v>
      </c>
      <c r="E499" s="80">
        <v>0</v>
      </c>
      <c r="F499" s="80">
        <v>5201733</v>
      </c>
      <c r="G499" s="78">
        <v>64966230</v>
      </c>
      <c r="H499" s="78" t="s">
        <v>1463</v>
      </c>
      <c r="I499" t="s">
        <v>1249</v>
      </c>
    </row>
    <row r="500" spans="1:9">
      <c r="A500" s="78" t="s">
        <v>842</v>
      </c>
      <c r="B500" s="78" t="s">
        <v>1460</v>
      </c>
      <c r="C500" s="79" t="s">
        <v>1466</v>
      </c>
      <c r="D500" s="79" t="s">
        <v>1467</v>
      </c>
      <c r="E500" s="80">
        <v>0</v>
      </c>
      <c r="F500" s="80">
        <v>17572827</v>
      </c>
      <c r="G500" s="78">
        <v>70167963</v>
      </c>
      <c r="H500" s="78" t="s">
        <v>1463</v>
      </c>
      <c r="I500" t="s">
        <v>1249</v>
      </c>
    </row>
    <row r="501" spans="1:9">
      <c r="A501" s="78" t="s">
        <v>845</v>
      </c>
      <c r="B501" s="78" t="s">
        <v>1460</v>
      </c>
      <c r="C501" s="79" t="s">
        <v>1468</v>
      </c>
      <c r="D501" s="79" t="s">
        <v>1469</v>
      </c>
      <c r="E501" s="80">
        <v>0</v>
      </c>
      <c r="F501" s="80">
        <v>33084737</v>
      </c>
      <c r="G501" s="78">
        <v>87740790</v>
      </c>
      <c r="H501" s="78" t="s">
        <v>1463</v>
      </c>
      <c r="I501" t="s">
        <v>1249</v>
      </c>
    </row>
    <row r="502" spans="1:9">
      <c r="A502" s="78" t="s">
        <v>848</v>
      </c>
      <c r="B502" s="78" t="s">
        <v>1460</v>
      </c>
      <c r="C502" s="79" t="s">
        <v>1470</v>
      </c>
      <c r="D502" s="79" t="s">
        <v>1471</v>
      </c>
      <c r="E502" s="80">
        <v>0</v>
      </c>
      <c r="F502" s="80">
        <v>15485841</v>
      </c>
      <c r="G502" s="78">
        <v>120825527</v>
      </c>
      <c r="H502" s="78" t="s">
        <v>1463</v>
      </c>
      <c r="I502" t="s">
        <v>1249</v>
      </c>
    </row>
    <row r="503" spans="1:9">
      <c r="A503" s="78" t="s">
        <v>851</v>
      </c>
      <c r="B503" s="78" t="s">
        <v>1460</v>
      </c>
      <c r="C503" s="79" t="s">
        <v>1472</v>
      </c>
      <c r="D503" s="79" t="s">
        <v>1473</v>
      </c>
      <c r="E503" s="80">
        <v>80000000</v>
      </c>
      <c r="F503" s="80">
        <v>0</v>
      </c>
      <c r="G503" s="78">
        <v>136311368</v>
      </c>
      <c r="H503" s="78" t="s">
        <v>1474</v>
      </c>
      <c r="I503" t="s">
        <v>1249</v>
      </c>
    </row>
    <row r="504" spans="1:9">
      <c r="A504" s="78" t="s">
        <v>854</v>
      </c>
      <c r="B504" s="78" t="s">
        <v>1475</v>
      </c>
      <c r="C504" s="79" t="s">
        <v>1476</v>
      </c>
      <c r="D504" s="79" t="s">
        <v>1477</v>
      </c>
      <c r="E504" s="80">
        <v>1126</v>
      </c>
      <c r="F504" s="80">
        <v>0</v>
      </c>
      <c r="G504" s="78">
        <v>56311368</v>
      </c>
      <c r="H504" s="78" t="s">
        <v>1478</v>
      </c>
      <c r="I504" t="s">
        <v>1249</v>
      </c>
    </row>
    <row r="505" spans="1:9">
      <c r="A505" s="78" t="s">
        <v>857</v>
      </c>
      <c r="B505" s="78" t="s">
        <v>1475</v>
      </c>
      <c r="C505" s="79" t="s">
        <v>1479</v>
      </c>
      <c r="D505" s="79" t="s">
        <v>1480</v>
      </c>
      <c r="E505" s="80">
        <v>0</v>
      </c>
      <c r="F505" s="80">
        <v>3520087</v>
      </c>
      <c r="G505" s="78">
        <v>56310242</v>
      </c>
      <c r="H505" s="78" t="s">
        <v>1481</v>
      </c>
      <c r="I505" t="s">
        <v>1249</v>
      </c>
    </row>
    <row r="506" spans="1:9">
      <c r="A506" s="78" t="s">
        <v>860</v>
      </c>
      <c r="B506" s="78" t="s">
        <v>1475</v>
      </c>
      <c r="C506" s="79" t="s">
        <v>1482</v>
      </c>
      <c r="D506" s="79" t="s">
        <v>1483</v>
      </c>
      <c r="E506" s="80">
        <v>0</v>
      </c>
      <c r="F506" s="80">
        <v>3600445</v>
      </c>
      <c r="G506" s="78">
        <v>59830329</v>
      </c>
      <c r="H506" s="78" t="s">
        <v>1481</v>
      </c>
      <c r="I506" t="s">
        <v>1249</v>
      </c>
    </row>
    <row r="507" spans="1:9">
      <c r="A507" s="78" t="s">
        <v>20</v>
      </c>
      <c r="B507" s="78" t="s">
        <v>1475</v>
      </c>
      <c r="C507" s="79" t="s">
        <v>1484</v>
      </c>
      <c r="D507" s="79" t="s">
        <v>1485</v>
      </c>
      <c r="E507" s="80">
        <v>0</v>
      </c>
      <c r="F507" s="80">
        <v>12367173</v>
      </c>
      <c r="G507" s="78">
        <v>63430774</v>
      </c>
      <c r="H507" s="78" t="s">
        <v>1481</v>
      </c>
      <c r="I507" t="s">
        <v>1249</v>
      </c>
    </row>
    <row r="508" spans="1:9">
      <c r="A508" s="78" t="s">
        <v>865</v>
      </c>
      <c r="B508" s="78" t="s">
        <v>1475</v>
      </c>
      <c r="C508" s="79" t="s">
        <v>1486</v>
      </c>
      <c r="D508" s="79" t="s">
        <v>1487</v>
      </c>
      <c r="E508" s="80">
        <v>0</v>
      </c>
      <c r="F508" s="80">
        <v>12367173</v>
      </c>
      <c r="G508" s="78">
        <v>75797947</v>
      </c>
      <c r="H508" s="78" t="s">
        <v>1481</v>
      </c>
      <c r="I508" t="s">
        <v>1249</v>
      </c>
    </row>
    <row r="509" spans="1:9">
      <c r="A509" s="78" t="s">
        <v>868</v>
      </c>
      <c r="B509" s="78" t="s">
        <v>1475</v>
      </c>
      <c r="C509" s="79" t="s">
        <v>1488</v>
      </c>
      <c r="D509" s="79" t="s">
        <v>1489</v>
      </c>
      <c r="E509" s="80">
        <v>50000000</v>
      </c>
      <c r="F509" s="80">
        <v>0</v>
      </c>
      <c r="G509" s="78">
        <v>88165120</v>
      </c>
      <c r="H509" s="78" t="s">
        <v>268</v>
      </c>
      <c r="I509" t="s">
        <v>1249</v>
      </c>
    </row>
    <row r="510" spans="1:9">
      <c r="A510" s="78" t="s">
        <v>871</v>
      </c>
      <c r="B510" s="78" t="s">
        <v>1490</v>
      </c>
      <c r="C510" s="79" t="s">
        <v>1491</v>
      </c>
      <c r="D510" s="79" t="s">
        <v>1492</v>
      </c>
      <c r="E510" s="80">
        <v>0</v>
      </c>
      <c r="F510" s="80">
        <v>54458333</v>
      </c>
      <c r="G510" s="78">
        <v>38165120</v>
      </c>
      <c r="H510" s="78" t="s">
        <v>1493</v>
      </c>
      <c r="I510" t="s">
        <v>1249</v>
      </c>
    </row>
    <row r="511" spans="1:9">
      <c r="A511" s="78" t="s">
        <v>874</v>
      </c>
      <c r="B511" s="78" t="s">
        <v>1490</v>
      </c>
      <c r="C511" s="79" t="s">
        <v>1494</v>
      </c>
      <c r="D511" s="79" t="s">
        <v>1495</v>
      </c>
      <c r="E511" s="80">
        <v>0</v>
      </c>
      <c r="F511" s="80">
        <v>26360852</v>
      </c>
      <c r="G511" s="78">
        <v>92623453</v>
      </c>
      <c r="H511" s="78" t="s">
        <v>1493</v>
      </c>
      <c r="I511" t="s">
        <v>1249</v>
      </c>
    </row>
    <row r="512" spans="1:9">
      <c r="A512" s="78" t="s">
        <v>877</v>
      </c>
      <c r="B512" s="78" t="s">
        <v>1490</v>
      </c>
      <c r="C512" s="79" t="s">
        <v>1496</v>
      </c>
      <c r="D512" s="79" t="s">
        <v>1497</v>
      </c>
      <c r="E512" s="80">
        <v>0</v>
      </c>
      <c r="F512" s="80">
        <v>16919329</v>
      </c>
      <c r="G512" s="78">
        <v>118984305</v>
      </c>
      <c r="H512" s="78" t="s">
        <v>1493</v>
      </c>
      <c r="I512" t="s">
        <v>1249</v>
      </c>
    </row>
    <row r="513" spans="1:9">
      <c r="A513" s="78" t="s">
        <v>880</v>
      </c>
      <c r="B513" s="78" t="s">
        <v>1490</v>
      </c>
      <c r="C513" s="79" t="s">
        <v>1498</v>
      </c>
      <c r="D513" s="79" t="s">
        <v>1499</v>
      </c>
      <c r="E513" s="80">
        <v>0</v>
      </c>
      <c r="F513" s="80">
        <v>6925610</v>
      </c>
      <c r="G513" s="78">
        <v>135903634</v>
      </c>
      <c r="H513" s="78" t="s">
        <v>1493</v>
      </c>
      <c r="I513" t="s">
        <v>1249</v>
      </c>
    </row>
    <row r="514" spans="1:9">
      <c r="A514" s="78" t="s">
        <v>883</v>
      </c>
      <c r="B514" s="78" t="s">
        <v>1490</v>
      </c>
      <c r="C514" s="79" t="s">
        <v>1500</v>
      </c>
      <c r="D514" s="79" t="s">
        <v>1501</v>
      </c>
      <c r="E514" s="80">
        <v>0</v>
      </c>
      <c r="F514" s="80">
        <v>20097477</v>
      </c>
      <c r="G514" s="78">
        <v>142829244</v>
      </c>
      <c r="H514" s="78" t="s">
        <v>1493</v>
      </c>
      <c r="I514" t="s">
        <v>1249</v>
      </c>
    </row>
    <row r="515" spans="1:9">
      <c r="A515" s="78" t="s">
        <v>886</v>
      </c>
      <c r="B515" s="78" t="s">
        <v>1490</v>
      </c>
      <c r="C515" s="79" t="s">
        <v>1502</v>
      </c>
      <c r="D515" s="79" t="s">
        <v>1503</v>
      </c>
      <c r="E515" s="80">
        <v>0</v>
      </c>
      <c r="F515" s="80">
        <v>10800568</v>
      </c>
      <c r="G515" s="78">
        <v>162926721</v>
      </c>
      <c r="H515" s="78" t="s">
        <v>1493</v>
      </c>
      <c r="I515" t="s">
        <v>1249</v>
      </c>
    </row>
    <row r="516" spans="1:9">
      <c r="A516" s="78" t="s">
        <v>889</v>
      </c>
      <c r="B516" s="78" t="s">
        <v>1490</v>
      </c>
      <c r="C516" s="79" t="s">
        <v>1504</v>
      </c>
      <c r="D516" s="79" t="s">
        <v>1505</v>
      </c>
      <c r="E516" s="80">
        <v>140000000</v>
      </c>
      <c r="F516" s="80">
        <v>0</v>
      </c>
      <c r="G516" s="78">
        <v>173727289</v>
      </c>
      <c r="H516" s="78" t="s">
        <v>1506</v>
      </c>
      <c r="I516" t="s">
        <v>1249</v>
      </c>
    </row>
    <row r="517" spans="1:9">
      <c r="A517" s="78" t="s">
        <v>892</v>
      </c>
      <c r="B517" s="78" t="s">
        <v>1507</v>
      </c>
      <c r="C517" s="79" t="s">
        <v>1508</v>
      </c>
      <c r="D517" s="79" t="s">
        <v>1509</v>
      </c>
      <c r="E517" s="80">
        <v>0</v>
      </c>
      <c r="F517" s="80">
        <v>9108989</v>
      </c>
      <c r="G517" s="78">
        <v>33727289</v>
      </c>
      <c r="H517" s="78" t="s">
        <v>1510</v>
      </c>
      <c r="I517" t="s">
        <v>1249</v>
      </c>
    </row>
    <row r="518" spans="1:9">
      <c r="A518" s="78" t="s">
        <v>895</v>
      </c>
      <c r="B518" s="78" t="s">
        <v>1507</v>
      </c>
      <c r="C518" s="79" t="s">
        <v>1511</v>
      </c>
      <c r="D518" s="79" t="s">
        <v>1512</v>
      </c>
      <c r="E518" s="80">
        <v>0</v>
      </c>
      <c r="F518" s="80">
        <v>2488105</v>
      </c>
      <c r="G518" s="78">
        <v>42836278</v>
      </c>
      <c r="H518" s="78" t="s">
        <v>1510</v>
      </c>
      <c r="I518" t="s">
        <v>1249</v>
      </c>
    </row>
    <row r="519" spans="1:9">
      <c r="A519" s="78" t="s">
        <v>898</v>
      </c>
      <c r="B519" s="78" t="s">
        <v>1507</v>
      </c>
      <c r="C519" s="79" t="s">
        <v>1513</v>
      </c>
      <c r="D519" s="79" t="s">
        <v>1514</v>
      </c>
      <c r="E519" s="80">
        <v>0</v>
      </c>
      <c r="F519" s="80">
        <v>12153810</v>
      </c>
      <c r="G519" s="78">
        <v>45324383</v>
      </c>
      <c r="H519" s="78" t="s">
        <v>1510</v>
      </c>
      <c r="I519" t="s">
        <v>1249</v>
      </c>
    </row>
    <row r="520" spans="1:9">
      <c r="A520" s="78" t="s">
        <v>901</v>
      </c>
      <c r="B520" s="78" t="s">
        <v>1507</v>
      </c>
      <c r="C520" s="79" t="s">
        <v>1515</v>
      </c>
      <c r="D520" s="79" t="s">
        <v>1516</v>
      </c>
      <c r="E520" s="80">
        <v>0</v>
      </c>
      <c r="F520" s="80">
        <v>8960335</v>
      </c>
      <c r="G520" s="78">
        <v>57478193</v>
      </c>
      <c r="H520" s="78" t="s">
        <v>1510</v>
      </c>
      <c r="I520" t="s">
        <v>1249</v>
      </c>
    </row>
    <row r="521" spans="1:9">
      <c r="A521" s="78" t="s">
        <v>904</v>
      </c>
      <c r="B521" s="78" t="s">
        <v>1507</v>
      </c>
      <c r="C521" s="79" t="s">
        <v>1517</v>
      </c>
      <c r="D521" s="79" t="s">
        <v>1518</v>
      </c>
      <c r="E521" s="80">
        <v>0</v>
      </c>
      <c r="F521" s="80">
        <v>12779711</v>
      </c>
      <c r="G521" s="78">
        <v>66438528</v>
      </c>
      <c r="H521" s="78" t="s">
        <v>1510</v>
      </c>
      <c r="I521" t="s">
        <v>1249</v>
      </c>
    </row>
    <row r="522" spans="1:9">
      <c r="A522" s="78" t="s">
        <v>907</v>
      </c>
      <c r="B522" s="78" t="s">
        <v>1507</v>
      </c>
      <c r="C522" s="79" t="s">
        <v>1519</v>
      </c>
      <c r="D522" s="79" t="s">
        <v>1520</v>
      </c>
      <c r="E522" s="80">
        <v>0</v>
      </c>
      <c r="F522" s="80">
        <v>5372006</v>
      </c>
      <c r="G522" s="78">
        <v>79218239</v>
      </c>
      <c r="H522" s="78" t="s">
        <v>1510</v>
      </c>
      <c r="I522" t="s">
        <v>1249</v>
      </c>
    </row>
    <row r="523" spans="1:9">
      <c r="A523" s="78" t="s">
        <v>910</v>
      </c>
      <c r="B523" s="78" t="s">
        <v>1507</v>
      </c>
      <c r="C523" s="79" t="s">
        <v>1521</v>
      </c>
      <c r="D523" s="79" t="s">
        <v>1522</v>
      </c>
      <c r="E523" s="80">
        <v>0</v>
      </c>
      <c r="F523" s="80">
        <v>25050833</v>
      </c>
      <c r="G523" s="78">
        <v>84590245</v>
      </c>
      <c r="H523" s="78" t="s">
        <v>1510</v>
      </c>
      <c r="I523" t="s">
        <v>1249</v>
      </c>
    </row>
    <row r="524" spans="1:9">
      <c r="A524" s="78" t="s">
        <v>913</v>
      </c>
      <c r="B524" s="78" t="s">
        <v>1507</v>
      </c>
      <c r="C524" s="79" t="s">
        <v>1523</v>
      </c>
      <c r="D524" s="79" t="s">
        <v>1524</v>
      </c>
      <c r="E524" s="80">
        <v>0</v>
      </c>
      <c r="F524" s="80">
        <v>11830831</v>
      </c>
      <c r="G524" s="78">
        <v>109641078</v>
      </c>
      <c r="H524" s="78" t="s">
        <v>1510</v>
      </c>
      <c r="I524" t="s">
        <v>1249</v>
      </c>
    </row>
    <row r="525" spans="1:9">
      <c r="A525" s="78" t="s">
        <v>916</v>
      </c>
      <c r="B525" s="78" t="s">
        <v>1507</v>
      </c>
      <c r="C525" s="79" t="s">
        <v>1525</v>
      </c>
      <c r="D525" s="79" t="s">
        <v>1526</v>
      </c>
      <c r="E525" s="80">
        <v>0</v>
      </c>
      <c r="F525" s="80">
        <v>7182675</v>
      </c>
      <c r="G525" s="78">
        <v>121471909</v>
      </c>
      <c r="H525" s="78" t="s">
        <v>1527</v>
      </c>
      <c r="I525" t="s">
        <v>1249</v>
      </c>
    </row>
    <row r="526" spans="1:9">
      <c r="A526" s="78" t="s">
        <v>919</v>
      </c>
      <c r="B526" s="78" t="s">
        <v>1507</v>
      </c>
      <c r="C526" s="79" t="s">
        <v>1528</v>
      </c>
      <c r="D526" s="79" t="s">
        <v>1529</v>
      </c>
      <c r="E526" s="80">
        <v>0</v>
      </c>
      <c r="F526" s="80">
        <v>7345416</v>
      </c>
      <c r="G526" s="78">
        <v>128654584</v>
      </c>
      <c r="H526" s="78" t="s">
        <v>1527</v>
      </c>
      <c r="I526" t="s">
        <v>1249</v>
      </c>
    </row>
    <row r="527" spans="1:9">
      <c r="A527" s="78" t="s">
        <v>922</v>
      </c>
      <c r="B527" s="78" t="s">
        <v>1507</v>
      </c>
      <c r="C527" s="79" t="s">
        <v>1530</v>
      </c>
      <c r="D527" s="79" t="s">
        <v>1531</v>
      </c>
      <c r="E527" s="80">
        <v>135000000</v>
      </c>
      <c r="F527" s="80">
        <v>0</v>
      </c>
      <c r="G527" s="78">
        <v>136000000</v>
      </c>
      <c r="H527" s="78" t="s">
        <v>1532</v>
      </c>
      <c r="I527" t="s">
        <v>1249</v>
      </c>
    </row>
    <row r="528" spans="1:9">
      <c r="A528" s="78" t="s">
        <v>925</v>
      </c>
      <c r="B528" s="78" t="s">
        <v>1533</v>
      </c>
      <c r="C528" s="79" t="s">
        <v>1534</v>
      </c>
      <c r="D528" s="79" t="s">
        <v>1535</v>
      </c>
      <c r="E528" s="80">
        <v>1000000</v>
      </c>
      <c r="F528" s="80">
        <v>0</v>
      </c>
      <c r="G528" s="78">
        <v>1000000</v>
      </c>
      <c r="H528" s="78" t="s">
        <v>1536</v>
      </c>
      <c r="I528" t="s">
        <v>1249</v>
      </c>
    </row>
    <row r="529" spans="1:9">
      <c r="A529" s="70" t="s">
        <v>153</v>
      </c>
      <c r="B529" s="71" t="s">
        <v>1238</v>
      </c>
      <c r="C529" s="71" t="s">
        <v>1239</v>
      </c>
      <c r="D529" s="71" t="s">
        <v>1240</v>
      </c>
      <c r="E529" s="72" t="s">
        <v>1241</v>
      </c>
      <c r="F529" s="72" t="s">
        <v>1242</v>
      </c>
      <c r="G529" s="71" t="s">
        <v>1243</v>
      </c>
      <c r="H529" s="73" t="s">
        <v>1244</v>
      </c>
      <c r="I529" t="s">
        <v>154</v>
      </c>
    </row>
    <row r="530" spans="1:9">
      <c r="A530" s="74" t="s">
        <v>169</v>
      </c>
      <c r="B530" s="74" t="s">
        <v>1475</v>
      </c>
      <c r="C530" s="75" t="s">
        <v>1537</v>
      </c>
      <c r="D530" s="76" t="s">
        <v>1538</v>
      </c>
      <c r="E530" s="77">
        <v>264</v>
      </c>
      <c r="F530" s="77">
        <v>0</v>
      </c>
      <c r="G530" s="74">
        <v>2040643</v>
      </c>
      <c r="H530" s="74" t="s">
        <v>1478</v>
      </c>
      <c r="I530" s="91" t="s">
        <v>1539</v>
      </c>
    </row>
    <row r="531" spans="1:9">
      <c r="A531" s="78" t="s">
        <v>297</v>
      </c>
      <c r="B531" s="78" t="s">
        <v>1540</v>
      </c>
      <c r="C531" s="79" t="s">
        <v>1541</v>
      </c>
      <c r="D531" s="79" t="s">
        <v>1542</v>
      </c>
      <c r="E531" s="80">
        <v>0</v>
      </c>
      <c r="F531" s="80">
        <v>17961646</v>
      </c>
      <c r="G531" s="78">
        <v>2040379</v>
      </c>
      <c r="H531" s="78" t="s">
        <v>1543</v>
      </c>
      <c r="I531" t="s">
        <v>1539</v>
      </c>
    </row>
    <row r="532" spans="1:9">
      <c r="A532" s="78" t="s">
        <v>300</v>
      </c>
      <c r="B532" s="78" t="s">
        <v>1540</v>
      </c>
      <c r="C532" s="79" t="s">
        <v>1541</v>
      </c>
      <c r="D532" s="79" t="s">
        <v>1544</v>
      </c>
      <c r="E532" s="80">
        <v>0</v>
      </c>
      <c r="F532" s="80">
        <v>2000000</v>
      </c>
      <c r="G532" s="78">
        <v>20002025</v>
      </c>
      <c r="H532" s="78" t="s">
        <v>1543</v>
      </c>
      <c r="I532" t="s">
        <v>1539</v>
      </c>
    </row>
    <row r="533" spans="1:9">
      <c r="A533" s="78" t="s">
        <v>303</v>
      </c>
      <c r="B533" s="78" t="s">
        <v>1540</v>
      </c>
      <c r="C533" s="79" t="s">
        <v>1541</v>
      </c>
      <c r="D533" s="79" t="s">
        <v>1545</v>
      </c>
      <c r="E533" s="80">
        <v>0</v>
      </c>
      <c r="F533" s="80">
        <v>162196</v>
      </c>
      <c r="G533" s="78">
        <v>22002025</v>
      </c>
      <c r="H533" s="78" t="s">
        <v>1543</v>
      </c>
      <c r="I533" t="s">
        <v>1539</v>
      </c>
    </row>
    <row r="534" spans="1:9">
      <c r="A534" s="78" t="s">
        <v>306</v>
      </c>
      <c r="B534" s="78" t="s">
        <v>1540</v>
      </c>
      <c r="C534" s="79" t="s">
        <v>1546</v>
      </c>
      <c r="D534" s="79" t="s">
        <v>1547</v>
      </c>
      <c r="E534" s="80">
        <v>0</v>
      </c>
      <c r="F534" s="80">
        <v>10452899</v>
      </c>
      <c r="G534" s="78">
        <v>22164221</v>
      </c>
      <c r="H534" s="78" t="s">
        <v>1548</v>
      </c>
      <c r="I534" t="s">
        <v>1539</v>
      </c>
    </row>
    <row r="535" spans="1:9">
      <c r="A535" s="78" t="s">
        <v>309</v>
      </c>
      <c r="B535" s="78" t="s">
        <v>1540</v>
      </c>
      <c r="C535" s="79" t="s">
        <v>1546</v>
      </c>
      <c r="D535" s="79" t="s">
        <v>1549</v>
      </c>
      <c r="E535" s="80">
        <v>0</v>
      </c>
      <c r="F535" s="80">
        <v>2181971</v>
      </c>
      <c r="G535" s="78">
        <v>32617120</v>
      </c>
      <c r="H535" s="78" t="s">
        <v>1548</v>
      </c>
      <c r="I535" t="s">
        <v>1539</v>
      </c>
    </row>
    <row r="536" spans="1:9">
      <c r="A536" s="78" t="s">
        <v>525</v>
      </c>
      <c r="B536" s="78" t="s">
        <v>1540</v>
      </c>
      <c r="C536" s="79" t="s">
        <v>1546</v>
      </c>
      <c r="D536" s="79" t="s">
        <v>1550</v>
      </c>
      <c r="E536" s="80">
        <v>0</v>
      </c>
      <c r="F536" s="80">
        <v>696329</v>
      </c>
      <c r="G536" s="78">
        <v>34799091</v>
      </c>
      <c r="H536" s="78" t="s">
        <v>1548</v>
      </c>
      <c r="I536" t="s">
        <v>1539</v>
      </c>
    </row>
    <row r="537" spans="1:9">
      <c r="A537" s="78" t="s">
        <v>526</v>
      </c>
      <c r="B537" s="78" t="s">
        <v>1540</v>
      </c>
      <c r="C537" s="79" t="s">
        <v>1546</v>
      </c>
      <c r="D537" s="79" t="s">
        <v>1551</v>
      </c>
      <c r="E537" s="80">
        <v>0</v>
      </c>
      <c r="F537" s="80">
        <v>15355</v>
      </c>
      <c r="G537" s="78">
        <v>35495420</v>
      </c>
      <c r="H537" s="78" t="s">
        <v>1548</v>
      </c>
      <c r="I537" t="s">
        <v>1539</v>
      </c>
    </row>
    <row r="538" spans="1:9">
      <c r="A538" s="78" t="s">
        <v>529</v>
      </c>
      <c r="B538" s="78" t="s">
        <v>1540</v>
      </c>
      <c r="C538" s="79" t="s">
        <v>1552</v>
      </c>
      <c r="D538" s="79" t="s">
        <v>1553</v>
      </c>
      <c r="E538" s="80">
        <v>34000000</v>
      </c>
      <c r="F538" s="80">
        <v>0</v>
      </c>
      <c r="G538" s="78">
        <v>35510775</v>
      </c>
      <c r="H538" s="78" t="s">
        <v>1554</v>
      </c>
      <c r="I538" t="s">
        <v>1539</v>
      </c>
    </row>
    <row r="539" spans="1:9">
      <c r="A539" s="70" t="s">
        <v>153</v>
      </c>
      <c r="B539" s="71" t="s">
        <v>1238</v>
      </c>
      <c r="C539" s="71" t="s">
        <v>1239</v>
      </c>
      <c r="D539" s="71" t="s">
        <v>1240</v>
      </c>
      <c r="E539" s="72" t="s">
        <v>1241</v>
      </c>
      <c r="F539" s="72" t="s">
        <v>1242</v>
      </c>
      <c r="G539" s="71" t="s">
        <v>1243</v>
      </c>
      <c r="H539" s="73" t="s">
        <v>1244</v>
      </c>
      <c r="I539" t="s">
        <v>154</v>
      </c>
    </row>
    <row r="540" spans="1:9">
      <c r="A540" s="74" t="s">
        <v>169</v>
      </c>
      <c r="B540" s="74" t="s">
        <v>1475</v>
      </c>
      <c r="C540" s="75" t="s">
        <v>1555</v>
      </c>
      <c r="D540" s="76" t="s">
        <v>1556</v>
      </c>
      <c r="E540" s="77">
        <v>8139</v>
      </c>
      <c r="F540" s="77">
        <v>0</v>
      </c>
      <c r="G540" s="74">
        <v>14050796</v>
      </c>
      <c r="H540" s="74" t="s">
        <v>1478</v>
      </c>
      <c r="I540" s="91" t="s">
        <v>1557</v>
      </c>
    </row>
    <row r="541" spans="1:9">
      <c r="A541" s="78" t="s">
        <v>297</v>
      </c>
      <c r="B541" s="78" t="s">
        <v>1533</v>
      </c>
      <c r="C541" s="79" t="s">
        <v>1558</v>
      </c>
      <c r="D541" s="79" t="s">
        <v>1559</v>
      </c>
      <c r="E541" s="80">
        <v>0</v>
      </c>
      <c r="F541" s="80">
        <v>292565</v>
      </c>
      <c r="G541" s="78">
        <v>14042657</v>
      </c>
      <c r="H541" s="78" t="s">
        <v>1560</v>
      </c>
      <c r="I541" t="s">
        <v>1557</v>
      </c>
    </row>
    <row r="542" spans="1:9">
      <c r="A542" s="78" t="s">
        <v>300</v>
      </c>
      <c r="B542" s="78" t="s">
        <v>1533</v>
      </c>
      <c r="C542" s="79" t="s">
        <v>1561</v>
      </c>
      <c r="D542" s="79" t="s">
        <v>1562</v>
      </c>
      <c r="E542" s="80">
        <v>0</v>
      </c>
      <c r="F542" s="80">
        <v>225849</v>
      </c>
      <c r="G542" s="78">
        <v>14335222</v>
      </c>
      <c r="H542" s="78" t="s">
        <v>1560</v>
      </c>
      <c r="I542" t="s">
        <v>1557</v>
      </c>
    </row>
    <row r="543" spans="1:9">
      <c r="A543" s="78" t="s">
        <v>303</v>
      </c>
      <c r="B543" s="78" t="s">
        <v>1533</v>
      </c>
      <c r="C543" s="79" t="s">
        <v>1563</v>
      </c>
      <c r="D543" s="79" t="s">
        <v>1564</v>
      </c>
      <c r="E543" s="80">
        <v>0</v>
      </c>
      <c r="F543" s="80">
        <v>9611290</v>
      </c>
      <c r="G543" s="78">
        <v>14561071</v>
      </c>
      <c r="H543" s="78" t="s">
        <v>1560</v>
      </c>
      <c r="I543" t="s">
        <v>1557</v>
      </c>
    </row>
    <row r="544" spans="1:9">
      <c r="A544" s="78" t="s">
        <v>306</v>
      </c>
      <c r="B544" s="78" t="s">
        <v>1533</v>
      </c>
      <c r="C544" s="79" t="s">
        <v>1565</v>
      </c>
      <c r="D544" s="79" t="s">
        <v>1566</v>
      </c>
      <c r="E544" s="80">
        <v>0</v>
      </c>
      <c r="F544" s="80">
        <v>7549300</v>
      </c>
      <c r="G544" s="78">
        <v>24172361</v>
      </c>
      <c r="H544" s="78" t="s">
        <v>1560</v>
      </c>
      <c r="I544" t="s">
        <v>1557</v>
      </c>
    </row>
    <row r="545" spans="1:9">
      <c r="A545" s="78" t="s">
        <v>309</v>
      </c>
      <c r="B545" s="78" t="s">
        <v>1533</v>
      </c>
      <c r="C545" s="79" t="s">
        <v>1567</v>
      </c>
      <c r="D545" s="79" t="s">
        <v>1568</v>
      </c>
      <c r="E545" s="80">
        <v>0</v>
      </c>
      <c r="F545" s="80">
        <v>254472</v>
      </c>
      <c r="G545" s="78">
        <v>31721661</v>
      </c>
      <c r="H545" s="78" t="s">
        <v>1560</v>
      </c>
      <c r="I545" t="s">
        <v>1557</v>
      </c>
    </row>
    <row r="546" spans="1:9">
      <c r="A546" s="78" t="s">
        <v>525</v>
      </c>
      <c r="B546" s="78" t="s">
        <v>1533</v>
      </c>
      <c r="C546" s="79" t="s">
        <v>1569</v>
      </c>
      <c r="D546" s="79" t="s">
        <v>1570</v>
      </c>
      <c r="E546" s="80">
        <v>0</v>
      </c>
      <c r="F546" s="80">
        <v>293130</v>
      </c>
      <c r="G546" s="78">
        <v>31976133</v>
      </c>
      <c r="H546" s="78" t="s">
        <v>1560</v>
      </c>
      <c r="I546" t="s">
        <v>1557</v>
      </c>
    </row>
    <row r="547" spans="1:9">
      <c r="A547" s="78" t="s">
        <v>526</v>
      </c>
      <c r="B547" s="78" t="s">
        <v>1533</v>
      </c>
      <c r="C547" s="79" t="s">
        <v>1571</v>
      </c>
      <c r="D547" s="79" t="s">
        <v>1572</v>
      </c>
      <c r="E547" s="80">
        <v>0</v>
      </c>
      <c r="F547" s="80">
        <v>2577758</v>
      </c>
      <c r="G547" s="78">
        <v>32269263</v>
      </c>
      <c r="H547" s="78" t="s">
        <v>1560</v>
      </c>
      <c r="I547" t="s">
        <v>1557</v>
      </c>
    </row>
    <row r="548" spans="1:9">
      <c r="A548" s="78" t="s">
        <v>529</v>
      </c>
      <c r="B548" s="78" t="s">
        <v>1533</v>
      </c>
      <c r="C548" s="79" t="s">
        <v>1573</v>
      </c>
      <c r="D548" s="79" t="s">
        <v>1574</v>
      </c>
      <c r="E548" s="80">
        <v>0</v>
      </c>
      <c r="F548" s="80">
        <v>10390141</v>
      </c>
      <c r="G548" s="78">
        <v>34847021</v>
      </c>
      <c r="H548" s="78" t="s">
        <v>1560</v>
      </c>
      <c r="I548" t="s">
        <v>1557</v>
      </c>
    </row>
    <row r="549" spans="1:9">
      <c r="A549" s="78" t="s">
        <v>532</v>
      </c>
      <c r="B549" s="78" t="s">
        <v>1533</v>
      </c>
      <c r="C549" s="79" t="s">
        <v>1575</v>
      </c>
      <c r="D549" s="79" t="s">
        <v>1576</v>
      </c>
      <c r="E549" s="80">
        <v>0</v>
      </c>
      <c r="F549" s="80">
        <v>293130</v>
      </c>
      <c r="G549" s="78">
        <v>45237162</v>
      </c>
      <c r="H549" s="78" t="s">
        <v>1577</v>
      </c>
      <c r="I549" t="s">
        <v>1557</v>
      </c>
    </row>
    <row r="550" spans="1:9">
      <c r="A550" s="78" t="s">
        <v>535</v>
      </c>
      <c r="B550" s="78" t="s">
        <v>1533</v>
      </c>
      <c r="C550" s="79" t="s">
        <v>1578</v>
      </c>
      <c r="D550" s="79" t="s">
        <v>1579</v>
      </c>
      <c r="E550" s="80">
        <v>0</v>
      </c>
      <c r="F550" s="80">
        <v>261736</v>
      </c>
      <c r="G550" s="78">
        <v>45530292</v>
      </c>
      <c r="H550" s="78" t="s">
        <v>1577</v>
      </c>
      <c r="I550" t="s">
        <v>1557</v>
      </c>
    </row>
    <row r="551" spans="1:9">
      <c r="A551" s="78" t="s">
        <v>538</v>
      </c>
      <c r="B551" s="78" t="s">
        <v>1533</v>
      </c>
      <c r="C551" s="79" t="s">
        <v>1580</v>
      </c>
      <c r="D551" s="79" t="s">
        <v>1581</v>
      </c>
      <c r="E551" s="80">
        <v>0</v>
      </c>
      <c r="F551" s="80">
        <v>216061</v>
      </c>
      <c r="G551" s="78">
        <v>45792028</v>
      </c>
      <c r="H551" s="78" t="s">
        <v>1577</v>
      </c>
      <c r="I551" t="s">
        <v>1557</v>
      </c>
    </row>
    <row r="552" spans="1:9">
      <c r="A552" s="78" t="s">
        <v>569</v>
      </c>
      <c r="B552" s="78" t="s">
        <v>1533</v>
      </c>
      <c r="C552" s="79" t="s">
        <v>1582</v>
      </c>
      <c r="D552" s="79" t="s">
        <v>1583</v>
      </c>
      <c r="E552" s="80">
        <v>0</v>
      </c>
      <c r="F552" s="80">
        <v>7356218</v>
      </c>
      <c r="G552" s="78">
        <v>46008089</v>
      </c>
      <c r="H552" s="78" t="s">
        <v>1577</v>
      </c>
      <c r="I552" t="s">
        <v>1557</v>
      </c>
    </row>
    <row r="553" spans="1:9">
      <c r="A553" s="78" t="s">
        <v>572</v>
      </c>
      <c r="B553" s="78" t="s">
        <v>1533</v>
      </c>
      <c r="C553" s="79" t="s">
        <v>1584</v>
      </c>
      <c r="D553" s="79" t="s">
        <v>1585</v>
      </c>
      <c r="E553" s="80">
        <v>0</v>
      </c>
      <c r="F553" s="80">
        <v>225849</v>
      </c>
      <c r="G553" s="78">
        <v>53364307</v>
      </c>
      <c r="H553" s="78" t="s">
        <v>1577</v>
      </c>
      <c r="I553" t="s">
        <v>1557</v>
      </c>
    </row>
    <row r="554" spans="1:9">
      <c r="A554" s="78" t="s">
        <v>574</v>
      </c>
      <c r="B554" s="78" t="s">
        <v>1533</v>
      </c>
      <c r="C554" s="79" t="s">
        <v>1586</v>
      </c>
      <c r="D554" s="79" t="s">
        <v>1587</v>
      </c>
      <c r="E554" s="80">
        <v>0</v>
      </c>
      <c r="F554" s="80">
        <v>835585</v>
      </c>
      <c r="G554" s="78">
        <v>53590156</v>
      </c>
      <c r="H554" s="78" t="s">
        <v>1577</v>
      </c>
      <c r="I554" t="s">
        <v>1557</v>
      </c>
    </row>
    <row r="555" spans="1:9">
      <c r="A555" s="78" t="s">
        <v>577</v>
      </c>
      <c r="B555" s="78" t="s">
        <v>1533</v>
      </c>
      <c r="C555" s="79" t="s">
        <v>1588</v>
      </c>
      <c r="D555" s="79" t="s">
        <v>1589</v>
      </c>
      <c r="E555" s="80">
        <v>0</v>
      </c>
      <c r="F555" s="80">
        <v>15516091</v>
      </c>
      <c r="G555" s="78">
        <v>54425741</v>
      </c>
      <c r="H555" s="78" t="s">
        <v>1577</v>
      </c>
      <c r="I555" t="s">
        <v>1557</v>
      </c>
    </row>
    <row r="556" spans="1:9">
      <c r="A556" s="78" t="s">
        <v>580</v>
      </c>
      <c r="B556" s="78" t="s">
        <v>1533</v>
      </c>
      <c r="C556" s="79" t="s">
        <v>1590</v>
      </c>
      <c r="D556" s="79" t="s">
        <v>1591</v>
      </c>
      <c r="E556" s="80">
        <v>0</v>
      </c>
      <c r="F556" s="80">
        <v>1143395</v>
      </c>
      <c r="G556" s="78">
        <v>69941832</v>
      </c>
      <c r="H556" s="78" t="s">
        <v>1577</v>
      </c>
      <c r="I556" t="s">
        <v>1557</v>
      </c>
    </row>
    <row r="557" spans="1:9">
      <c r="A557" s="78" t="s">
        <v>583</v>
      </c>
      <c r="B557" s="78" t="s">
        <v>1533</v>
      </c>
      <c r="C557" s="79" t="s">
        <v>1592</v>
      </c>
      <c r="D557" s="79" t="s">
        <v>1593</v>
      </c>
      <c r="E557" s="80">
        <v>0</v>
      </c>
      <c r="F557" s="80">
        <v>1245787</v>
      </c>
      <c r="G557" s="78">
        <v>71085227</v>
      </c>
      <c r="H557" s="78" t="s">
        <v>1577</v>
      </c>
      <c r="I557" t="s">
        <v>1557</v>
      </c>
    </row>
    <row r="558" spans="1:9">
      <c r="A558" s="78" t="s">
        <v>586</v>
      </c>
      <c r="B558" s="78" t="s">
        <v>1533</v>
      </c>
      <c r="C558" s="79" t="s">
        <v>1594</v>
      </c>
      <c r="D558" s="79" t="s">
        <v>1595</v>
      </c>
      <c r="E558" s="80">
        <v>0</v>
      </c>
      <c r="F558" s="80">
        <v>221204</v>
      </c>
      <c r="G558" s="78">
        <v>72331014</v>
      </c>
      <c r="H558" s="78" t="s">
        <v>1577</v>
      </c>
      <c r="I558" t="s">
        <v>1557</v>
      </c>
    </row>
    <row r="559" spans="1:9">
      <c r="A559" s="78" t="s">
        <v>589</v>
      </c>
      <c r="B559" s="78" t="s">
        <v>1533</v>
      </c>
      <c r="C559" s="79" t="s">
        <v>1596</v>
      </c>
      <c r="D559" s="79" t="s">
        <v>1597</v>
      </c>
      <c r="E559" s="80">
        <v>0</v>
      </c>
      <c r="F559" s="80">
        <v>183717</v>
      </c>
      <c r="G559" s="78">
        <v>72552218</v>
      </c>
      <c r="H559" s="78" t="s">
        <v>1577</v>
      </c>
      <c r="I559" t="s">
        <v>1557</v>
      </c>
    </row>
    <row r="560" spans="1:9">
      <c r="A560" s="78" t="s">
        <v>592</v>
      </c>
      <c r="B560" s="78" t="s">
        <v>1533</v>
      </c>
      <c r="C560" s="79" t="s">
        <v>1598</v>
      </c>
      <c r="D560" s="79" t="s">
        <v>1599</v>
      </c>
      <c r="E560" s="80">
        <v>0</v>
      </c>
      <c r="F560" s="80">
        <v>33084519</v>
      </c>
      <c r="G560" s="78">
        <v>72735935</v>
      </c>
      <c r="H560" s="78" t="s">
        <v>1577</v>
      </c>
      <c r="I560" t="s">
        <v>1557</v>
      </c>
    </row>
    <row r="561" spans="1:9">
      <c r="A561" s="78" t="s">
        <v>595</v>
      </c>
      <c r="B561" s="78" t="s">
        <v>1533</v>
      </c>
      <c r="C561" s="79" t="s">
        <v>1600</v>
      </c>
      <c r="D561" s="79" t="s">
        <v>1601</v>
      </c>
      <c r="E561" s="80">
        <v>0</v>
      </c>
      <c r="F561" s="80">
        <v>216061</v>
      </c>
      <c r="G561" s="78">
        <v>105820454</v>
      </c>
      <c r="H561" s="78" t="s">
        <v>1577</v>
      </c>
      <c r="I561" t="s">
        <v>1557</v>
      </c>
    </row>
    <row r="562" spans="1:9">
      <c r="A562" s="78" t="s">
        <v>497</v>
      </c>
      <c r="B562" s="78" t="s">
        <v>1533</v>
      </c>
      <c r="C562" s="79" t="s">
        <v>1602</v>
      </c>
      <c r="D562" s="79" t="s">
        <v>1603</v>
      </c>
      <c r="E562" s="80">
        <v>0</v>
      </c>
      <c r="F562" s="80">
        <v>5182157</v>
      </c>
      <c r="G562" s="78">
        <v>106036515</v>
      </c>
      <c r="H562" s="78" t="s">
        <v>1577</v>
      </c>
      <c r="I562" t="s">
        <v>1557</v>
      </c>
    </row>
    <row r="563" spans="1:9">
      <c r="A563" s="78" t="s">
        <v>600</v>
      </c>
      <c r="B563" s="78" t="s">
        <v>1533</v>
      </c>
      <c r="C563" s="79" t="s">
        <v>1604</v>
      </c>
      <c r="D563" s="79" t="s">
        <v>1605</v>
      </c>
      <c r="E563" s="80">
        <v>0</v>
      </c>
      <c r="F563" s="80">
        <v>4695883</v>
      </c>
      <c r="G563" s="78">
        <v>111218672</v>
      </c>
      <c r="H563" s="78" t="s">
        <v>1577</v>
      </c>
      <c r="I563" t="s">
        <v>1557</v>
      </c>
    </row>
    <row r="564" spans="1:9">
      <c r="A564" s="78" t="s">
        <v>603</v>
      </c>
      <c r="B564" s="78" t="s">
        <v>1533</v>
      </c>
      <c r="C564" s="79" t="s">
        <v>1606</v>
      </c>
      <c r="D564" s="79" t="s">
        <v>1607</v>
      </c>
      <c r="E564" s="80">
        <v>0</v>
      </c>
      <c r="F564" s="80">
        <v>187436</v>
      </c>
      <c r="G564" s="78">
        <v>115914555</v>
      </c>
      <c r="H564" s="78" t="s">
        <v>1577</v>
      </c>
      <c r="I564" t="s">
        <v>1557</v>
      </c>
    </row>
    <row r="565" spans="1:9">
      <c r="A565" s="78" t="s">
        <v>606</v>
      </c>
      <c r="B565" s="78" t="s">
        <v>1533</v>
      </c>
      <c r="C565" s="79" t="s">
        <v>1608</v>
      </c>
      <c r="D565" s="79" t="s">
        <v>1609</v>
      </c>
      <c r="E565" s="80">
        <v>0</v>
      </c>
      <c r="F565" s="80">
        <v>206274</v>
      </c>
      <c r="G565" s="78">
        <v>116101991</v>
      </c>
      <c r="H565" s="78" t="s">
        <v>1577</v>
      </c>
      <c r="I565" t="s">
        <v>1557</v>
      </c>
    </row>
    <row r="566" spans="1:9">
      <c r="A566" s="78" t="s">
        <v>609</v>
      </c>
      <c r="B566" s="78" t="s">
        <v>1533</v>
      </c>
      <c r="C566" s="79" t="s">
        <v>1610</v>
      </c>
      <c r="D566" s="79" t="s">
        <v>1611</v>
      </c>
      <c r="E566" s="80">
        <v>0</v>
      </c>
      <c r="F566" s="80">
        <v>360372</v>
      </c>
      <c r="G566" s="78">
        <v>116308265</v>
      </c>
      <c r="H566" s="78" t="s">
        <v>1577</v>
      </c>
      <c r="I566" t="s">
        <v>1557</v>
      </c>
    </row>
    <row r="567" spans="1:9">
      <c r="A567" s="78" t="s">
        <v>612</v>
      </c>
      <c r="B567" s="78" t="s">
        <v>1533</v>
      </c>
      <c r="C567" s="79" t="s">
        <v>1612</v>
      </c>
      <c r="D567" s="79" t="s">
        <v>1613</v>
      </c>
      <c r="E567" s="80">
        <v>0</v>
      </c>
      <c r="F567" s="80">
        <v>648737</v>
      </c>
      <c r="G567" s="78">
        <v>116668637</v>
      </c>
      <c r="H567" s="78" t="s">
        <v>1577</v>
      </c>
      <c r="I567" t="s">
        <v>1557</v>
      </c>
    </row>
    <row r="568" spans="1:9">
      <c r="A568" s="78" t="s">
        <v>615</v>
      </c>
      <c r="B568" s="78" t="s">
        <v>1533</v>
      </c>
      <c r="C568" s="79" t="s">
        <v>1614</v>
      </c>
      <c r="D568" s="79" t="s">
        <v>1615</v>
      </c>
      <c r="E568" s="80">
        <v>0</v>
      </c>
      <c r="F568" s="80">
        <v>241914</v>
      </c>
      <c r="G568" s="78">
        <v>117317374</v>
      </c>
      <c r="H568" s="78" t="s">
        <v>1577</v>
      </c>
      <c r="I568" t="s">
        <v>1557</v>
      </c>
    </row>
    <row r="569" spans="1:9">
      <c r="A569" s="78" t="s">
        <v>618</v>
      </c>
      <c r="B569" s="78" t="s">
        <v>1533</v>
      </c>
      <c r="C569" s="79" t="s">
        <v>1616</v>
      </c>
      <c r="D569" s="79" t="s">
        <v>1617</v>
      </c>
      <c r="E569" s="80">
        <v>0</v>
      </c>
      <c r="F569" s="80">
        <v>2122878</v>
      </c>
      <c r="G569" s="78">
        <v>117559288</v>
      </c>
      <c r="H569" s="78" t="s">
        <v>1577</v>
      </c>
      <c r="I569" t="s">
        <v>1557</v>
      </c>
    </row>
    <row r="570" spans="1:9">
      <c r="A570" s="78" t="s">
        <v>621</v>
      </c>
      <c r="B570" s="78" t="s">
        <v>1533</v>
      </c>
      <c r="C570" s="79" t="s">
        <v>1618</v>
      </c>
      <c r="D570" s="79" t="s">
        <v>1619</v>
      </c>
      <c r="E570" s="80">
        <v>0</v>
      </c>
      <c r="F570" s="80">
        <v>225849</v>
      </c>
      <c r="G570" s="78">
        <v>119682166</v>
      </c>
      <c r="H570" s="78" t="s">
        <v>1577</v>
      </c>
      <c r="I570" t="s">
        <v>1557</v>
      </c>
    </row>
    <row r="571" spans="1:9">
      <c r="A571" s="78" t="s">
        <v>624</v>
      </c>
      <c r="B571" s="78" t="s">
        <v>1533</v>
      </c>
      <c r="C571" s="79" t="s">
        <v>1620</v>
      </c>
      <c r="D571" s="79" t="s">
        <v>1621</v>
      </c>
      <c r="E571" s="80">
        <v>0</v>
      </c>
      <c r="F571" s="80">
        <v>507675</v>
      </c>
      <c r="G571" s="78">
        <v>119908015</v>
      </c>
      <c r="H571" s="78" t="s">
        <v>1577</v>
      </c>
      <c r="I571" t="s">
        <v>1557</v>
      </c>
    </row>
    <row r="572" spans="1:9">
      <c r="A572" s="78" t="s">
        <v>627</v>
      </c>
      <c r="B572" s="78" t="s">
        <v>1533</v>
      </c>
      <c r="C572" s="79" t="s">
        <v>1622</v>
      </c>
      <c r="D572" s="79" t="s">
        <v>1623</v>
      </c>
      <c r="E572" s="80">
        <v>0</v>
      </c>
      <c r="F572" s="80">
        <v>225849</v>
      </c>
      <c r="G572" s="78">
        <v>120415690</v>
      </c>
      <c r="H572" s="78" t="s">
        <v>1577</v>
      </c>
      <c r="I572" t="s">
        <v>1557</v>
      </c>
    </row>
    <row r="573" spans="1:9">
      <c r="A573" s="78" t="s">
        <v>630</v>
      </c>
      <c r="B573" s="78" t="s">
        <v>1533</v>
      </c>
      <c r="C573" s="79" t="s">
        <v>1624</v>
      </c>
      <c r="D573" s="79" t="s">
        <v>1625</v>
      </c>
      <c r="E573" s="80">
        <v>0</v>
      </c>
      <c r="F573" s="80">
        <v>196855</v>
      </c>
      <c r="G573" s="78">
        <v>120641539</v>
      </c>
      <c r="H573" s="78" t="s">
        <v>1577</v>
      </c>
      <c r="I573" t="s">
        <v>1557</v>
      </c>
    </row>
    <row r="574" spans="1:9">
      <c r="A574" s="78" t="s">
        <v>633</v>
      </c>
      <c r="B574" s="78" t="s">
        <v>1533</v>
      </c>
      <c r="C574" s="79" t="s">
        <v>1626</v>
      </c>
      <c r="D574" s="79" t="s">
        <v>1627</v>
      </c>
      <c r="E574" s="80">
        <v>0</v>
      </c>
      <c r="F574" s="80">
        <v>1481439</v>
      </c>
      <c r="G574" s="78">
        <v>120838394</v>
      </c>
      <c r="H574" s="78" t="s">
        <v>1577</v>
      </c>
      <c r="I574" t="s">
        <v>1557</v>
      </c>
    </row>
    <row r="575" spans="1:9">
      <c r="A575" s="78" t="s">
        <v>636</v>
      </c>
      <c r="B575" s="78" t="s">
        <v>1533</v>
      </c>
      <c r="C575" s="79" t="s">
        <v>1628</v>
      </c>
      <c r="D575" s="79" t="s">
        <v>1629</v>
      </c>
      <c r="E575" s="80">
        <v>0</v>
      </c>
      <c r="F575" s="80">
        <v>483927</v>
      </c>
      <c r="G575" s="78">
        <v>122319833</v>
      </c>
      <c r="H575" s="78" t="s">
        <v>1577</v>
      </c>
      <c r="I575" t="s">
        <v>1557</v>
      </c>
    </row>
    <row r="576" spans="1:9">
      <c r="A576" s="78" t="s">
        <v>639</v>
      </c>
      <c r="B576" s="78" t="s">
        <v>1533</v>
      </c>
      <c r="C576" s="79" t="s">
        <v>1630</v>
      </c>
      <c r="D576" s="79" t="s">
        <v>1631</v>
      </c>
      <c r="E576" s="80">
        <v>0</v>
      </c>
      <c r="F576" s="80">
        <v>186614</v>
      </c>
      <c r="G576" s="78">
        <v>122803760</v>
      </c>
      <c r="H576" s="78" t="s">
        <v>1577</v>
      </c>
      <c r="I576" t="s">
        <v>1557</v>
      </c>
    </row>
    <row r="577" spans="1:9">
      <c r="A577" s="78" t="s">
        <v>642</v>
      </c>
      <c r="B577" s="78" t="s">
        <v>1533</v>
      </c>
      <c r="C577" s="79" t="s">
        <v>1632</v>
      </c>
      <c r="D577" s="79" t="s">
        <v>1633</v>
      </c>
      <c r="E577" s="80">
        <v>0</v>
      </c>
      <c r="F577" s="80">
        <v>24865889</v>
      </c>
      <c r="G577" s="78">
        <v>122990374</v>
      </c>
      <c r="H577" s="78" t="s">
        <v>1577</v>
      </c>
      <c r="I577" t="s">
        <v>1557</v>
      </c>
    </row>
    <row r="578" spans="1:9">
      <c r="A578" s="78" t="s">
        <v>645</v>
      </c>
      <c r="B578" s="78" t="s">
        <v>1533</v>
      </c>
      <c r="C578" s="79" t="s">
        <v>1634</v>
      </c>
      <c r="D578" s="79" t="s">
        <v>1635</v>
      </c>
      <c r="E578" s="80">
        <v>0</v>
      </c>
      <c r="F578" s="80">
        <v>494938</v>
      </c>
      <c r="G578" s="78">
        <v>147856263</v>
      </c>
      <c r="H578" s="78" t="s">
        <v>1577</v>
      </c>
      <c r="I578" t="s">
        <v>1557</v>
      </c>
    </row>
    <row r="579" spans="1:9">
      <c r="A579" s="78" t="s">
        <v>648</v>
      </c>
      <c r="B579" s="78" t="s">
        <v>1533</v>
      </c>
      <c r="C579" s="79" t="s">
        <v>1636</v>
      </c>
      <c r="D579" s="79" t="s">
        <v>1637</v>
      </c>
      <c r="E579" s="80">
        <v>0</v>
      </c>
      <c r="F579" s="80">
        <v>293130</v>
      </c>
      <c r="G579" s="78">
        <v>148351201</v>
      </c>
      <c r="H579" s="78" t="s">
        <v>1577</v>
      </c>
      <c r="I579" t="s">
        <v>1557</v>
      </c>
    </row>
    <row r="580" spans="1:9">
      <c r="A580" s="78" t="s">
        <v>651</v>
      </c>
      <c r="B580" s="78" t="s">
        <v>1533</v>
      </c>
      <c r="C580" s="79" t="s">
        <v>1638</v>
      </c>
      <c r="D580" s="79" t="s">
        <v>1639</v>
      </c>
      <c r="E580" s="80">
        <v>0</v>
      </c>
      <c r="F580" s="80">
        <v>201664</v>
      </c>
      <c r="G580" s="78">
        <v>148644331</v>
      </c>
      <c r="H580" s="78" t="s">
        <v>1577</v>
      </c>
      <c r="I580" t="s">
        <v>1557</v>
      </c>
    </row>
    <row r="581" spans="1:9">
      <c r="A581" s="78" t="s">
        <v>654</v>
      </c>
      <c r="B581" s="78" t="s">
        <v>1533</v>
      </c>
      <c r="C581" s="79" t="s">
        <v>1640</v>
      </c>
      <c r="D581" s="79" t="s">
        <v>1641</v>
      </c>
      <c r="E581" s="80">
        <v>0</v>
      </c>
      <c r="F581" s="80">
        <v>1441341</v>
      </c>
      <c r="G581" s="78">
        <v>148845995</v>
      </c>
      <c r="H581" s="78" t="s">
        <v>1642</v>
      </c>
      <c r="I581" t="s">
        <v>1557</v>
      </c>
    </row>
    <row r="582" spans="1:9">
      <c r="A582" s="78" t="s">
        <v>657</v>
      </c>
      <c r="B582" s="78" t="s">
        <v>1533</v>
      </c>
      <c r="C582" s="79" t="s">
        <v>1643</v>
      </c>
      <c r="D582" s="79" t="s">
        <v>1644</v>
      </c>
      <c r="E582" s="80">
        <v>0</v>
      </c>
      <c r="F582" s="80">
        <v>11018124</v>
      </c>
      <c r="G582" s="78">
        <v>150287336</v>
      </c>
      <c r="H582" s="78" t="s">
        <v>1642</v>
      </c>
      <c r="I582" t="s">
        <v>1557</v>
      </c>
    </row>
    <row r="583" spans="1:9">
      <c r="A583" s="78" t="s">
        <v>660</v>
      </c>
      <c r="B583" s="78" t="s">
        <v>1533</v>
      </c>
      <c r="C583" s="79" t="s">
        <v>1645</v>
      </c>
      <c r="D583" s="79" t="s">
        <v>1646</v>
      </c>
      <c r="E583" s="80">
        <v>0</v>
      </c>
      <c r="F583" s="80">
        <v>273911</v>
      </c>
      <c r="G583" s="78">
        <v>161305460</v>
      </c>
      <c r="H583" s="78" t="s">
        <v>1642</v>
      </c>
      <c r="I583" t="s">
        <v>1557</v>
      </c>
    </row>
    <row r="584" spans="1:9">
      <c r="A584" s="78" t="s">
        <v>663</v>
      </c>
      <c r="B584" s="78" t="s">
        <v>1533</v>
      </c>
      <c r="C584" s="79" t="s">
        <v>1647</v>
      </c>
      <c r="D584" s="79" t="s">
        <v>1648</v>
      </c>
      <c r="E584" s="80">
        <v>0</v>
      </c>
      <c r="F584" s="80">
        <v>1030453</v>
      </c>
      <c r="G584" s="78">
        <v>161579371</v>
      </c>
      <c r="H584" s="78" t="s">
        <v>1642</v>
      </c>
      <c r="I584" t="s">
        <v>1557</v>
      </c>
    </row>
    <row r="585" spans="1:9">
      <c r="A585" s="78" t="s">
        <v>666</v>
      </c>
      <c r="B585" s="78" t="s">
        <v>1533</v>
      </c>
      <c r="C585" s="79" t="s">
        <v>1649</v>
      </c>
      <c r="D585" s="79" t="s">
        <v>1650</v>
      </c>
      <c r="E585" s="80">
        <v>0</v>
      </c>
      <c r="F585" s="80">
        <v>221204</v>
      </c>
      <c r="G585" s="78">
        <v>162609824</v>
      </c>
      <c r="H585" s="78" t="s">
        <v>1642</v>
      </c>
      <c r="I585" t="s">
        <v>1557</v>
      </c>
    </row>
    <row r="586" spans="1:9">
      <c r="A586" s="78" t="s">
        <v>669</v>
      </c>
      <c r="B586" s="78" t="s">
        <v>1533</v>
      </c>
      <c r="C586" s="79" t="s">
        <v>1651</v>
      </c>
      <c r="D586" s="79" t="s">
        <v>1652</v>
      </c>
      <c r="E586" s="80">
        <v>0</v>
      </c>
      <c r="F586" s="80">
        <v>1047773</v>
      </c>
      <c r="G586" s="78">
        <v>162831028</v>
      </c>
      <c r="H586" s="78" t="s">
        <v>1642</v>
      </c>
      <c r="I586" t="s">
        <v>1557</v>
      </c>
    </row>
    <row r="587" spans="1:9">
      <c r="A587" s="78" t="s">
        <v>672</v>
      </c>
      <c r="B587" s="78" t="s">
        <v>1533</v>
      </c>
      <c r="C587" s="79" t="s">
        <v>1653</v>
      </c>
      <c r="D587" s="79" t="s">
        <v>1654</v>
      </c>
      <c r="E587" s="80">
        <v>0</v>
      </c>
      <c r="F587" s="80">
        <v>144468</v>
      </c>
      <c r="G587" s="78">
        <v>163878801</v>
      </c>
      <c r="H587" s="78" t="s">
        <v>1642</v>
      </c>
      <c r="I587" t="s">
        <v>1557</v>
      </c>
    </row>
    <row r="588" spans="1:9">
      <c r="A588" s="78" t="s">
        <v>675</v>
      </c>
      <c r="B588" s="78" t="s">
        <v>1533</v>
      </c>
      <c r="C588" s="79" t="s">
        <v>1655</v>
      </c>
      <c r="D588" s="79" t="s">
        <v>1656</v>
      </c>
      <c r="E588" s="80">
        <v>0</v>
      </c>
      <c r="F588" s="80">
        <v>5301870</v>
      </c>
      <c r="G588" s="78">
        <v>164023269</v>
      </c>
      <c r="H588" s="78" t="s">
        <v>1642</v>
      </c>
      <c r="I588" t="s">
        <v>1557</v>
      </c>
    </row>
    <row r="589" spans="1:9">
      <c r="A589" s="78" t="s">
        <v>678</v>
      </c>
      <c r="B589" s="78" t="s">
        <v>1533</v>
      </c>
      <c r="C589" s="79" t="s">
        <v>1657</v>
      </c>
      <c r="D589" s="79" t="s">
        <v>1658</v>
      </c>
      <c r="E589" s="80">
        <v>110000000</v>
      </c>
      <c r="F589" s="80">
        <v>0</v>
      </c>
      <c r="G589" s="78">
        <v>169325139</v>
      </c>
      <c r="H589" s="78" t="s">
        <v>1659</v>
      </c>
      <c r="I589" t="s">
        <v>1557</v>
      </c>
    </row>
    <row r="590" spans="1:9">
      <c r="A590" s="78" t="s">
        <v>681</v>
      </c>
      <c r="B590" s="78" t="s">
        <v>1660</v>
      </c>
      <c r="C590" s="79" t="s">
        <v>1661</v>
      </c>
      <c r="D590" s="79" t="s">
        <v>1662</v>
      </c>
      <c r="E590" s="80">
        <v>0</v>
      </c>
      <c r="F590" s="80">
        <v>571000</v>
      </c>
      <c r="G590" s="78">
        <v>59325139</v>
      </c>
      <c r="H590" s="78" t="s">
        <v>1663</v>
      </c>
      <c r="I590" t="s">
        <v>1557</v>
      </c>
    </row>
    <row r="591" spans="1:9">
      <c r="A591" s="78" t="s">
        <v>684</v>
      </c>
      <c r="B591" s="78" t="s">
        <v>1660</v>
      </c>
      <c r="C591" s="79" t="s">
        <v>1664</v>
      </c>
      <c r="D591" s="79" t="s">
        <v>1665</v>
      </c>
      <c r="E591" s="80">
        <v>0</v>
      </c>
      <c r="F591" s="80">
        <v>2940500</v>
      </c>
      <c r="G591" s="78">
        <v>59896139</v>
      </c>
      <c r="H591" s="78" t="s">
        <v>1663</v>
      </c>
      <c r="I591" t="s">
        <v>1557</v>
      </c>
    </row>
    <row r="592" spans="1:9">
      <c r="A592" s="78" t="s">
        <v>687</v>
      </c>
      <c r="B592" s="78" t="s">
        <v>1660</v>
      </c>
      <c r="C592" s="79" t="s">
        <v>1666</v>
      </c>
      <c r="D592" s="79" t="s">
        <v>1667</v>
      </c>
      <c r="E592" s="80">
        <v>0</v>
      </c>
      <c r="F592" s="80">
        <v>13191200</v>
      </c>
      <c r="G592" s="78">
        <v>62836639</v>
      </c>
      <c r="H592" s="78" t="s">
        <v>1663</v>
      </c>
      <c r="I592" t="s">
        <v>1557</v>
      </c>
    </row>
    <row r="593" spans="1:9">
      <c r="A593" s="78" t="s">
        <v>690</v>
      </c>
      <c r="B593" s="78" t="s">
        <v>1660</v>
      </c>
      <c r="C593" s="79" t="s">
        <v>1668</v>
      </c>
      <c r="D593" s="79" t="s">
        <v>1669</v>
      </c>
      <c r="E593" s="80">
        <v>0</v>
      </c>
      <c r="F593" s="80">
        <v>6616000</v>
      </c>
      <c r="G593" s="78">
        <v>76027839</v>
      </c>
      <c r="H593" s="78" t="s">
        <v>1663</v>
      </c>
      <c r="I593" t="s">
        <v>1557</v>
      </c>
    </row>
    <row r="594" spans="1:9">
      <c r="A594" s="78" t="s">
        <v>693</v>
      </c>
      <c r="B594" s="78" t="s">
        <v>1660</v>
      </c>
      <c r="C594" s="79" t="s">
        <v>1670</v>
      </c>
      <c r="D594" s="79" t="s">
        <v>1671</v>
      </c>
      <c r="E594" s="80">
        <v>0</v>
      </c>
      <c r="F594" s="80">
        <v>7584100</v>
      </c>
      <c r="G594" s="78">
        <v>82643839</v>
      </c>
      <c r="H594" s="78" t="s">
        <v>1663</v>
      </c>
      <c r="I594" t="s">
        <v>1557</v>
      </c>
    </row>
    <row r="595" spans="1:9">
      <c r="A595" s="78" t="s">
        <v>696</v>
      </c>
      <c r="B595" s="78" t="s">
        <v>1660</v>
      </c>
      <c r="C595" s="79" t="s">
        <v>1672</v>
      </c>
      <c r="D595" s="79" t="s">
        <v>1673</v>
      </c>
      <c r="E595" s="80">
        <v>0</v>
      </c>
      <c r="F595" s="80">
        <v>6601100</v>
      </c>
      <c r="G595" s="78">
        <v>90227939</v>
      </c>
      <c r="H595" s="78" t="s">
        <v>1663</v>
      </c>
      <c r="I595" t="s">
        <v>1557</v>
      </c>
    </row>
    <row r="596" spans="1:9">
      <c r="A596" s="78" t="s">
        <v>699</v>
      </c>
      <c r="B596" s="78" t="s">
        <v>1660</v>
      </c>
      <c r="C596" s="79" t="s">
        <v>1674</v>
      </c>
      <c r="D596" s="79" t="s">
        <v>1675</v>
      </c>
      <c r="E596" s="80">
        <v>0</v>
      </c>
      <c r="F596" s="80">
        <v>6616000</v>
      </c>
      <c r="G596" s="78">
        <v>96829039</v>
      </c>
      <c r="H596" s="78" t="s">
        <v>1663</v>
      </c>
      <c r="I596" t="s">
        <v>1557</v>
      </c>
    </row>
    <row r="597" spans="1:9">
      <c r="A597" s="78" t="s">
        <v>702</v>
      </c>
      <c r="B597" s="78" t="s">
        <v>1660</v>
      </c>
      <c r="C597" s="79" t="s">
        <v>1676</v>
      </c>
      <c r="D597" s="79" t="s">
        <v>1677</v>
      </c>
      <c r="E597" s="80">
        <v>0</v>
      </c>
      <c r="F597" s="80">
        <v>6601000</v>
      </c>
      <c r="G597" s="78">
        <v>103445039</v>
      </c>
      <c r="H597" s="78" t="s">
        <v>1663</v>
      </c>
      <c r="I597" t="s">
        <v>1557</v>
      </c>
    </row>
    <row r="598" spans="1:9">
      <c r="A598" s="78" t="s">
        <v>705</v>
      </c>
      <c r="B598" s="78" t="s">
        <v>1660</v>
      </c>
      <c r="C598" s="79" t="s">
        <v>1678</v>
      </c>
      <c r="D598" s="79" t="s">
        <v>1679</v>
      </c>
      <c r="E598" s="80">
        <v>0</v>
      </c>
      <c r="F598" s="80">
        <v>20312100</v>
      </c>
      <c r="G598" s="78">
        <v>110046039</v>
      </c>
      <c r="H598" s="78" t="s">
        <v>1663</v>
      </c>
      <c r="I598" t="s">
        <v>1557</v>
      </c>
    </row>
    <row r="599" spans="1:9">
      <c r="A599" s="78" t="s">
        <v>708</v>
      </c>
      <c r="B599" s="78" t="s">
        <v>1660</v>
      </c>
      <c r="C599" s="79" t="s">
        <v>1680</v>
      </c>
      <c r="D599" s="79" t="s">
        <v>1681</v>
      </c>
      <c r="E599" s="80">
        <v>0</v>
      </c>
      <c r="F599" s="80">
        <v>10493300</v>
      </c>
      <c r="G599" s="78">
        <v>130358139</v>
      </c>
      <c r="H599" s="78" t="s">
        <v>1663</v>
      </c>
      <c r="I599" t="s">
        <v>1557</v>
      </c>
    </row>
    <row r="600" spans="1:9">
      <c r="A600" s="78" t="s">
        <v>711</v>
      </c>
      <c r="B600" s="78" t="s">
        <v>1660</v>
      </c>
      <c r="C600" s="79" t="s">
        <v>1682</v>
      </c>
      <c r="D600" s="79" t="s">
        <v>1683</v>
      </c>
      <c r="E600" s="80">
        <v>0</v>
      </c>
      <c r="F600" s="80">
        <v>6913544</v>
      </c>
      <c r="G600" s="78">
        <v>140851439</v>
      </c>
      <c r="H600" s="78" t="s">
        <v>1684</v>
      </c>
      <c r="I600" t="s">
        <v>1557</v>
      </c>
    </row>
    <row r="601" spans="1:9">
      <c r="A601" s="78" t="s">
        <v>714</v>
      </c>
      <c r="B601" s="78" t="s">
        <v>1660</v>
      </c>
      <c r="C601" s="79" t="s">
        <v>1685</v>
      </c>
      <c r="D601" s="79" t="s">
        <v>1686</v>
      </c>
      <c r="E601" s="80">
        <v>0</v>
      </c>
      <c r="F601" s="80">
        <v>6438302</v>
      </c>
      <c r="G601" s="78">
        <v>147764983</v>
      </c>
      <c r="H601" s="78" t="s">
        <v>1684</v>
      </c>
      <c r="I601" t="s">
        <v>1557</v>
      </c>
    </row>
    <row r="602" spans="1:9">
      <c r="A602" s="78" t="s">
        <v>717</v>
      </c>
      <c r="B602" s="78" t="s">
        <v>1660</v>
      </c>
      <c r="C602" s="79" t="s">
        <v>1687</v>
      </c>
      <c r="D602" s="79" t="s">
        <v>1688</v>
      </c>
      <c r="E602" s="80">
        <v>0</v>
      </c>
      <c r="F602" s="80">
        <v>6913544</v>
      </c>
      <c r="G602" s="78">
        <v>154203285</v>
      </c>
      <c r="H602" s="78" t="s">
        <v>1684</v>
      </c>
      <c r="I602" t="s">
        <v>1557</v>
      </c>
    </row>
    <row r="603" spans="1:9">
      <c r="A603" s="78" t="s">
        <v>720</v>
      </c>
      <c r="B603" s="78" t="s">
        <v>1660</v>
      </c>
      <c r="C603" s="79" t="s">
        <v>1689</v>
      </c>
      <c r="D603" s="79" t="s">
        <v>1690</v>
      </c>
      <c r="E603" s="80">
        <v>0</v>
      </c>
      <c r="F603" s="80">
        <v>7356218</v>
      </c>
      <c r="G603" s="78">
        <v>161116829</v>
      </c>
      <c r="H603" s="78" t="s">
        <v>1684</v>
      </c>
      <c r="I603" t="s">
        <v>1557</v>
      </c>
    </row>
    <row r="604" spans="1:9">
      <c r="A604" s="78" t="s">
        <v>723</v>
      </c>
      <c r="B604" s="78" t="s">
        <v>1660</v>
      </c>
      <c r="C604" s="79" t="s">
        <v>1691</v>
      </c>
      <c r="D604" s="79" t="s">
        <v>1692</v>
      </c>
      <c r="E604" s="80">
        <v>0</v>
      </c>
      <c r="F604" s="80">
        <v>4431544</v>
      </c>
      <c r="G604" s="78">
        <v>168473047</v>
      </c>
      <c r="H604" s="78" t="s">
        <v>1684</v>
      </c>
      <c r="I604" t="s">
        <v>1557</v>
      </c>
    </row>
    <row r="605" spans="1:9">
      <c r="A605" s="78" t="s">
        <v>726</v>
      </c>
      <c r="B605" s="78" t="s">
        <v>1660</v>
      </c>
      <c r="C605" s="79" t="s">
        <v>1693</v>
      </c>
      <c r="D605" s="79" t="s">
        <v>1694</v>
      </c>
      <c r="E605" s="80">
        <v>0</v>
      </c>
      <c r="F605" s="80">
        <v>12512070</v>
      </c>
      <c r="G605" s="78">
        <v>172904591</v>
      </c>
      <c r="H605" s="78" t="s">
        <v>1684</v>
      </c>
      <c r="I605" t="s">
        <v>1557</v>
      </c>
    </row>
    <row r="606" spans="1:9">
      <c r="A606" s="78" t="s">
        <v>729</v>
      </c>
      <c r="B606" s="78" t="s">
        <v>1660</v>
      </c>
      <c r="C606" s="79" t="s">
        <v>1695</v>
      </c>
      <c r="D606" s="79" t="s">
        <v>1696</v>
      </c>
      <c r="E606" s="80">
        <v>0</v>
      </c>
      <c r="F606" s="80">
        <v>5182157</v>
      </c>
      <c r="G606" s="78">
        <v>185416661</v>
      </c>
      <c r="H606" s="78" t="s">
        <v>1684</v>
      </c>
      <c r="I606" t="s">
        <v>1557</v>
      </c>
    </row>
    <row r="607" spans="1:9">
      <c r="A607" s="78" t="s">
        <v>732</v>
      </c>
      <c r="B607" s="78" t="s">
        <v>1660</v>
      </c>
      <c r="C607" s="79" t="s">
        <v>1697</v>
      </c>
      <c r="D607" s="79" t="s">
        <v>1698</v>
      </c>
      <c r="E607" s="80">
        <v>0</v>
      </c>
      <c r="F607" s="80">
        <v>3587906</v>
      </c>
      <c r="G607" s="78">
        <v>190598818</v>
      </c>
      <c r="H607" s="78" t="s">
        <v>1684</v>
      </c>
      <c r="I607" t="s">
        <v>1557</v>
      </c>
    </row>
    <row r="608" spans="1:9">
      <c r="A608" s="78" t="s">
        <v>735</v>
      </c>
      <c r="B608" s="78" t="s">
        <v>1660</v>
      </c>
      <c r="C608" s="79" t="s">
        <v>1699</v>
      </c>
      <c r="D608" s="79" t="s">
        <v>1700</v>
      </c>
      <c r="E608" s="80">
        <v>0</v>
      </c>
      <c r="F608" s="80">
        <v>14924841</v>
      </c>
      <c r="G608" s="78">
        <v>194186724</v>
      </c>
      <c r="H608" s="78" t="s">
        <v>1684</v>
      </c>
      <c r="I608" t="s">
        <v>1557</v>
      </c>
    </row>
    <row r="609" spans="1:9">
      <c r="A609" s="78" t="s">
        <v>738</v>
      </c>
      <c r="B609" s="78" t="s">
        <v>1660</v>
      </c>
      <c r="C609" s="79" t="s">
        <v>1701</v>
      </c>
      <c r="D609" s="79" t="s">
        <v>1702</v>
      </c>
      <c r="E609" s="80">
        <v>0</v>
      </c>
      <c r="F609" s="80">
        <v>63238215</v>
      </c>
      <c r="G609" s="78">
        <v>209111565</v>
      </c>
      <c r="H609" s="78" t="s">
        <v>1684</v>
      </c>
      <c r="I609" t="s">
        <v>1557</v>
      </c>
    </row>
    <row r="610" spans="1:9">
      <c r="A610" s="78" t="s">
        <v>741</v>
      </c>
      <c r="B610" s="78" t="s">
        <v>1660</v>
      </c>
      <c r="C610" s="79" t="s">
        <v>1703</v>
      </c>
      <c r="D610" s="79" t="s">
        <v>1704</v>
      </c>
      <c r="E610" s="80">
        <v>0</v>
      </c>
      <c r="F610" s="80">
        <v>14070106</v>
      </c>
      <c r="G610" s="78">
        <v>272349780</v>
      </c>
      <c r="H610" s="78" t="s">
        <v>1684</v>
      </c>
      <c r="I610" t="s">
        <v>1557</v>
      </c>
    </row>
    <row r="611" spans="1:9">
      <c r="A611" s="78" t="s">
        <v>744</v>
      </c>
      <c r="B611" s="78" t="s">
        <v>1660</v>
      </c>
      <c r="C611" s="79" t="s">
        <v>1705</v>
      </c>
      <c r="D611" s="79" t="s">
        <v>1706</v>
      </c>
      <c r="E611" s="80">
        <v>0</v>
      </c>
      <c r="F611" s="80">
        <v>7212888</v>
      </c>
      <c r="G611" s="78">
        <v>286419886</v>
      </c>
      <c r="H611" s="78" t="s">
        <v>1684</v>
      </c>
      <c r="I611" t="s">
        <v>1557</v>
      </c>
    </row>
    <row r="612" spans="1:9">
      <c r="A612" s="78" t="s">
        <v>747</v>
      </c>
      <c r="B612" s="78" t="s">
        <v>1660</v>
      </c>
      <c r="C612" s="79" t="s">
        <v>1707</v>
      </c>
      <c r="D612" s="79" t="s">
        <v>1708</v>
      </c>
      <c r="E612" s="80">
        <v>0</v>
      </c>
      <c r="F612" s="80">
        <v>12391331</v>
      </c>
      <c r="G612" s="78">
        <v>293632774</v>
      </c>
      <c r="H612" s="78" t="s">
        <v>1684</v>
      </c>
      <c r="I612" t="s">
        <v>1557</v>
      </c>
    </row>
    <row r="613" spans="1:9">
      <c r="A613" s="78" t="s">
        <v>750</v>
      </c>
      <c r="B613" s="78" t="s">
        <v>1660</v>
      </c>
      <c r="C613" s="79" t="s">
        <v>1709</v>
      </c>
      <c r="D613" s="79" t="s">
        <v>1710</v>
      </c>
      <c r="E613" s="80">
        <v>250000000</v>
      </c>
      <c r="F613" s="80">
        <v>0</v>
      </c>
      <c r="G613" s="78">
        <v>306024105</v>
      </c>
      <c r="H613" s="78" t="s">
        <v>1711</v>
      </c>
      <c r="I613" t="s">
        <v>1557</v>
      </c>
    </row>
    <row r="614" spans="1:9">
      <c r="A614" s="78" t="s">
        <v>753</v>
      </c>
      <c r="B614" s="78" t="s">
        <v>1712</v>
      </c>
      <c r="C614" s="79" t="s">
        <v>1713</v>
      </c>
      <c r="D614" s="79" t="s">
        <v>1559</v>
      </c>
      <c r="E614" s="80">
        <v>0</v>
      </c>
      <c r="F614" s="80">
        <v>3472821</v>
      </c>
      <c r="G614" s="78">
        <v>56024105</v>
      </c>
      <c r="H614" s="78" t="s">
        <v>1714</v>
      </c>
      <c r="I614" t="s">
        <v>1557</v>
      </c>
    </row>
    <row r="615" spans="1:9">
      <c r="A615" s="78" t="s">
        <v>756</v>
      </c>
      <c r="B615" s="78" t="s">
        <v>1712</v>
      </c>
      <c r="C615" s="79" t="s">
        <v>1715</v>
      </c>
      <c r="D615" s="79" t="s">
        <v>1627</v>
      </c>
      <c r="E615" s="80">
        <v>0</v>
      </c>
      <c r="F615" s="80">
        <v>10048752</v>
      </c>
      <c r="G615" s="78">
        <v>59496926</v>
      </c>
      <c r="H615" s="78" t="s">
        <v>1716</v>
      </c>
      <c r="I615" t="s">
        <v>1557</v>
      </c>
    </row>
    <row r="616" spans="1:9">
      <c r="A616" s="78" t="s">
        <v>759</v>
      </c>
      <c r="B616" s="78" t="s">
        <v>1712</v>
      </c>
      <c r="C616" s="79" t="s">
        <v>1717</v>
      </c>
      <c r="D616" s="79" t="s">
        <v>1579</v>
      </c>
      <c r="E616" s="80">
        <v>0</v>
      </c>
      <c r="F616" s="80">
        <v>7310765</v>
      </c>
      <c r="G616" s="78">
        <v>69545678</v>
      </c>
      <c r="H616" s="78" t="s">
        <v>1716</v>
      </c>
      <c r="I616" t="s">
        <v>1557</v>
      </c>
    </row>
    <row r="617" spans="1:9">
      <c r="A617" s="78" t="s">
        <v>762</v>
      </c>
      <c r="B617" s="78" t="s">
        <v>1712</v>
      </c>
      <c r="C617" s="79" t="s">
        <v>1718</v>
      </c>
      <c r="D617" s="79" t="s">
        <v>1595</v>
      </c>
      <c r="E617" s="80">
        <v>0</v>
      </c>
      <c r="F617" s="80">
        <v>5422615</v>
      </c>
      <c r="G617" s="78">
        <v>76856443</v>
      </c>
      <c r="H617" s="78" t="s">
        <v>1716</v>
      </c>
      <c r="I617" t="s">
        <v>1557</v>
      </c>
    </row>
    <row r="618" spans="1:9">
      <c r="A618" s="78" t="s">
        <v>765</v>
      </c>
      <c r="B618" s="78" t="s">
        <v>1712</v>
      </c>
      <c r="C618" s="79" t="s">
        <v>1719</v>
      </c>
      <c r="D618" s="79" t="s">
        <v>1629</v>
      </c>
      <c r="E618" s="80">
        <v>0</v>
      </c>
      <c r="F618" s="80">
        <v>6167640</v>
      </c>
      <c r="G618" s="78">
        <v>82279058</v>
      </c>
      <c r="H618" s="78" t="s">
        <v>1716</v>
      </c>
      <c r="I618" t="s">
        <v>1557</v>
      </c>
    </row>
    <row r="619" spans="1:9">
      <c r="A619" s="78" t="s">
        <v>768</v>
      </c>
      <c r="B619" s="78" t="s">
        <v>1712</v>
      </c>
      <c r="C619" s="79" t="s">
        <v>1720</v>
      </c>
      <c r="D619" s="79" t="s">
        <v>1609</v>
      </c>
      <c r="E619" s="80">
        <v>0</v>
      </c>
      <c r="F619" s="80">
        <v>5182157</v>
      </c>
      <c r="G619" s="78">
        <v>88446698</v>
      </c>
      <c r="H619" s="78" t="s">
        <v>1716</v>
      </c>
      <c r="I619" t="s">
        <v>1557</v>
      </c>
    </row>
    <row r="620" spans="1:9">
      <c r="A620" s="78" t="s">
        <v>771</v>
      </c>
      <c r="B620" s="78" t="s">
        <v>1712</v>
      </c>
      <c r="C620" s="79" t="s">
        <v>1721</v>
      </c>
      <c r="D620" s="79" t="s">
        <v>1722</v>
      </c>
      <c r="E620" s="80">
        <v>0</v>
      </c>
      <c r="F620" s="80">
        <v>7211905</v>
      </c>
      <c r="G620" s="78">
        <v>93628855</v>
      </c>
      <c r="H620" s="78" t="s">
        <v>1716</v>
      </c>
      <c r="I620" t="s">
        <v>1557</v>
      </c>
    </row>
    <row r="621" spans="1:9">
      <c r="A621" s="78" t="s">
        <v>774</v>
      </c>
      <c r="B621" s="78" t="s">
        <v>1712</v>
      </c>
      <c r="C621" s="79" t="s">
        <v>1723</v>
      </c>
      <c r="D621" s="79" t="s">
        <v>1587</v>
      </c>
      <c r="E621" s="80">
        <v>0</v>
      </c>
      <c r="F621" s="80">
        <v>30924472</v>
      </c>
      <c r="G621" s="78">
        <v>100840760</v>
      </c>
      <c r="H621" s="78" t="s">
        <v>1716</v>
      </c>
      <c r="I621" t="s">
        <v>1557</v>
      </c>
    </row>
    <row r="622" spans="1:9">
      <c r="A622" s="78" t="s">
        <v>777</v>
      </c>
      <c r="B622" s="78" t="s">
        <v>1712</v>
      </c>
      <c r="C622" s="79" t="s">
        <v>1724</v>
      </c>
      <c r="D622" s="79" t="s">
        <v>1646</v>
      </c>
      <c r="E622" s="80">
        <v>0</v>
      </c>
      <c r="F622" s="80">
        <v>7234154</v>
      </c>
      <c r="G622" s="78">
        <v>131765232</v>
      </c>
      <c r="H622" s="78" t="s">
        <v>1716</v>
      </c>
      <c r="I622" t="s">
        <v>1557</v>
      </c>
    </row>
    <row r="623" spans="1:9">
      <c r="A623" s="78" t="s">
        <v>780</v>
      </c>
      <c r="B623" s="78" t="s">
        <v>1712</v>
      </c>
      <c r="C623" s="79" t="s">
        <v>1725</v>
      </c>
      <c r="D623" s="79" t="s">
        <v>1726</v>
      </c>
      <c r="E623" s="80">
        <v>0</v>
      </c>
      <c r="F623" s="80">
        <v>3726320</v>
      </c>
      <c r="G623" s="78">
        <v>138999386</v>
      </c>
      <c r="H623" s="78" t="s">
        <v>1716</v>
      </c>
      <c r="I623" t="s">
        <v>1557</v>
      </c>
    </row>
    <row r="624" spans="1:9">
      <c r="A624" s="78" t="s">
        <v>782</v>
      </c>
      <c r="B624" s="78" t="s">
        <v>1712</v>
      </c>
      <c r="C624" s="79" t="s">
        <v>1727</v>
      </c>
      <c r="D624" s="79" t="s">
        <v>1728</v>
      </c>
      <c r="E624" s="80">
        <v>0</v>
      </c>
      <c r="F624" s="80">
        <v>951242</v>
      </c>
      <c r="G624" s="78">
        <v>142725706</v>
      </c>
      <c r="H624" s="78" t="s">
        <v>1716</v>
      </c>
      <c r="I624" t="s">
        <v>1557</v>
      </c>
    </row>
    <row r="625" spans="1:9">
      <c r="A625" s="78" t="s">
        <v>785</v>
      </c>
      <c r="B625" s="78" t="s">
        <v>1712</v>
      </c>
      <c r="C625" s="79" t="s">
        <v>1729</v>
      </c>
      <c r="D625" s="79" t="s">
        <v>1621</v>
      </c>
      <c r="E625" s="80">
        <v>0</v>
      </c>
      <c r="F625" s="80">
        <v>18497009</v>
      </c>
      <c r="G625" s="78">
        <v>143676948</v>
      </c>
      <c r="H625" s="78" t="s">
        <v>1716</v>
      </c>
      <c r="I625" t="s">
        <v>1557</v>
      </c>
    </row>
    <row r="626" spans="1:9">
      <c r="A626" s="78" t="s">
        <v>788</v>
      </c>
      <c r="B626" s="78" t="s">
        <v>1712</v>
      </c>
      <c r="C626" s="79" t="s">
        <v>1730</v>
      </c>
      <c r="D626" s="79" t="s">
        <v>1607</v>
      </c>
      <c r="E626" s="80">
        <v>0</v>
      </c>
      <c r="F626" s="80">
        <v>5200994</v>
      </c>
      <c r="G626" s="78">
        <v>162173957</v>
      </c>
      <c r="H626" s="78" t="s">
        <v>1716</v>
      </c>
      <c r="I626" t="s">
        <v>1557</v>
      </c>
    </row>
    <row r="627" spans="1:9">
      <c r="A627" s="78" t="s">
        <v>791</v>
      </c>
      <c r="B627" s="78" t="s">
        <v>1712</v>
      </c>
      <c r="C627" s="79" t="s">
        <v>1731</v>
      </c>
      <c r="D627" s="79" t="s">
        <v>1732</v>
      </c>
      <c r="E627" s="80">
        <v>0</v>
      </c>
      <c r="F627" s="80">
        <v>13666008</v>
      </c>
      <c r="G627" s="78">
        <v>167374951</v>
      </c>
      <c r="H627" s="78" t="s">
        <v>1733</v>
      </c>
      <c r="I627" t="s">
        <v>1557</v>
      </c>
    </row>
    <row r="628" spans="1:9">
      <c r="A628" s="78" t="s">
        <v>794</v>
      </c>
      <c r="B628" s="78" t="s">
        <v>1712</v>
      </c>
      <c r="C628" s="79" t="s">
        <v>1734</v>
      </c>
      <c r="D628" s="79" t="s">
        <v>1735</v>
      </c>
      <c r="E628" s="80">
        <v>0</v>
      </c>
      <c r="F628" s="80">
        <v>3814568</v>
      </c>
      <c r="G628" s="78">
        <v>181040959</v>
      </c>
      <c r="H628" s="78" t="s">
        <v>1733</v>
      </c>
      <c r="I628" t="s">
        <v>1557</v>
      </c>
    </row>
    <row r="629" spans="1:9">
      <c r="A629" s="78" t="s">
        <v>797</v>
      </c>
      <c r="B629" s="78" t="s">
        <v>1712</v>
      </c>
      <c r="C629" s="79" t="s">
        <v>1736</v>
      </c>
      <c r="D629" s="79" t="s">
        <v>1737</v>
      </c>
      <c r="E629" s="80">
        <v>130000000</v>
      </c>
      <c r="F629" s="80">
        <v>0</v>
      </c>
      <c r="G629" s="78">
        <v>184855527</v>
      </c>
      <c r="H629" s="78" t="s">
        <v>1738</v>
      </c>
      <c r="I629" t="s">
        <v>1557</v>
      </c>
    </row>
    <row r="630" spans="1:9">
      <c r="A630" s="78" t="s">
        <v>800</v>
      </c>
      <c r="B630" s="78" t="s">
        <v>1540</v>
      </c>
      <c r="C630" s="79" t="s">
        <v>1739</v>
      </c>
      <c r="D630" s="79" t="s">
        <v>1650</v>
      </c>
      <c r="E630" s="80">
        <v>0</v>
      </c>
      <c r="F630" s="80">
        <v>5422615</v>
      </c>
      <c r="G630" s="78">
        <v>54855527</v>
      </c>
      <c r="H630" s="78" t="s">
        <v>1740</v>
      </c>
      <c r="I630" t="s">
        <v>1557</v>
      </c>
    </row>
    <row r="631" spans="1:9">
      <c r="A631" s="78" t="s">
        <v>803</v>
      </c>
      <c r="B631" s="78" t="s">
        <v>1540</v>
      </c>
      <c r="C631" s="79" t="s">
        <v>1741</v>
      </c>
      <c r="D631" s="79" t="s">
        <v>1742</v>
      </c>
      <c r="E631" s="80">
        <v>0</v>
      </c>
      <c r="F631" s="80">
        <v>685611</v>
      </c>
      <c r="G631" s="78">
        <v>60278142</v>
      </c>
      <c r="H631" s="78" t="s">
        <v>1740</v>
      </c>
      <c r="I631" t="s">
        <v>1557</v>
      </c>
    </row>
    <row r="632" spans="1:9">
      <c r="A632" s="78" t="s">
        <v>806</v>
      </c>
      <c r="B632" s="78" t="s">
        <v>1540</v>
      </c>
      <c r="C632" s="79" t="s">
        <v>1743</v>
      </c>
      <c r="D632" s="79" t="s">
        <v>1744</v>
      </c>
      <c r="E632" s="80">
        <v>0</v>
      </c>
      <c r="F632" s="80">
        <v>362936</v>
      </c>
      <c r="G632" s="78">
        <v>60963753</v>
      </c>
      <c r="H632" s="78" t="s">
        <v>1740</v>
      </c>
      <c r="I632" t="s">
        <v>1557</v>
      </c>
    </row>
    <row r="633" spans="1:9">
      <c r="A633" s="78" t="s">
        <v>809</v>
      </c>
      <c r="B633" s="78" t="s">
        <v>1540</v>
      </c>
      <c r="C633" s="79" t="s">
        <v>1745</v>
      </c>
      <c r="D633" s="79" t="s">
        <v>1746</v>
      </c>
      <c r="E633" s="80">
        <v>0</v>
      </c>
      <c r="F633" s="80">
        <v>282541</v>
      </c>
      <c r="G633" s="78">
        <v>61326689</v>
      </c>
      <c r="H633" s="78" t="s">
        <v>1740</v>
      </c>
      <c r="I633" t="s">
        <v>1557</v>
      </c>
    </row>
    <row r="634" spans="1:9">
      <c r="A634" s="78" t="s">
        <v>812</v>
      </c>
      <c r="B634" s="78" t="s">
        <v>1540</v>
      </c>
      <c r="C634" s="79" t="s">
        <v>1747</v>
      </c>
      <c r="D634" s="79" t="s">
        <v>1748</v>
      </c>
      <c r="E634" s="80">
        <v>0</v>
      </c>
      <c r="F634" s="80">
        <v>183717</v>
      </c>
      <c r="G634" s="78">
        <v>61609230</v>
      </c>
      <c r="H634" s="78" t="s">
        <v>1740</v>
      </c>
      <c r="I634" t="s">
        <v>1557</v>
      </c>
    </row>
    <row r="635" spans="1:9">
      <c r="A635" s="78" t="s">
        <v>815</v>
      </c>
      <c r="B635" s="78" t="s">
        <v>1540</v>
      </c>
      <c r="C635" s="79" t="s">
        <v>1749</v>
      </c>
      <c r="D635" s="79" t="s">
        <v>1652</v>
      </c>
      <c r="E635" s="80">
        <v>0</v>
      </c>
      <c r="F635" s="80">
        <v>9564647</v>
      </c>
      <c r="G635" s="78">
        <v>61792947</v>
      </c>
      <c r="H635" s="78" t="s">
        <v>1740</v>
      </c>
      <c r="I635" t="s">
        <v>1557</v>
      </c>
    </row>
    <row r="636" spans="1:9">
      <c r="A636" s="78" t="s">
        <v>818</v>
      </c>
      <c r="B636" s="78" t="s">
        <v>1540</v>
      </c>
      <c r="C636" s="79" t="s">
        <v>1750</v>
      </c>
      <c r="D636" s="79" t="s">
        <v>1751</v>
      </c>
      <c r="E636" s="80">
        <v>0</v>
      </c>
      <c r="F636" s="80">
        <v>443145</v>
      </c>
      <c r="G636" s="78">
        <v>71357594</v>
      </c>
      <c r="H636" s="78" t="s">
        <v>1740</v>
      </c>
      <c r="I636" t="s">
        <v>1557</v>
      </c>
    </row>
    <row r="637" spans="1:9">
      <c r="A637" s="78" t="s">
        <v>821</v>
      </c>
      <c r="B637" s="78" t="s">
        <v>1540</v>
      </c>
      <c r="C637" s="79" t="s">
        <v>1752</v>
      </c>
      <c r="D637" s="79" t="s">
        <v>1753</v>
      </c>
      <c r="E637" s="80">
        <v>0</v>
      </c>
      <c r="F637" s="80">
        <v>145516</v>
      </c>
      <c r="G637" s="78">
        <v>71800739</v>
      </c>
      <c r="H637" s="78" t="s">
        <v>1740</v>
      </c>
      <c r="I637" t="s">
        <v>1557</v>
      </c>
    </row>
    <row r="638" spans="1:9">
      <c r="A638" s="78" t="s">
        <v>824</v>
      </c>
      <c r="B638" s="78" t="s">
        <v>1540</v>
      </c>
      <c r="C638" s="79" t="s">
        <v>1754</v>
      </c>
      <c r="D638" s="79" t="s">
        <v>1755</v>
      </c>
      <c r="E638" s="80">
        <v>0</v>
      </c>
      <c r="F638" s="80">
        <v>142973</v>
      </c>
      <c r="G638" s="78">
        <v>71946255</v>
      </c>
      <c r="H638" s="78" t="s">
        <v>1740</v>
      </c>
      <c r="I638" t="s">
        <v>1557</v>
      </c>
    </row>
    <row r="639" spans="1:9">
      <c r="A639" s="78" t="s">
        <v>827</v>
      </c>
      <c r="B639" s="78" t="s">
        <v>1540</v>
      </c>
      <c r="C639" s="79" t="s">
        <v>1756</v>
      </c>
      <c r="D639" s="79" t="s">
        <v>1757</v>
      </c>
      <c r="E639" s="80">
        <v>0</v>
      </c>
      <c r="F639" s="80">
        <v>483706</v>
      </c>
      <c r="G639" s="78">
        <v>72089228</v>
      </c>
      <c r="H639" s="78" t="s">
        <v>1740</v>
      </c>
      <c r="I639" t="s">
        <v>1557</v>
      </c>
    </row>
    <row r="640" spans="1:9">
      <c r="A640" s="78" t="s">
        <v>830</v>
      </c>
      <c r="B640" s="78" t="s">
        <v>1540</v>
      </c>
      <c r="C640" s="79" t="s">
        <v>1758</v>
      </c>
      <c r="D640" s="79" t="s">
        <v>1759</v>
      </c>
      <c r="E640" s="80">
        <v>0</v>
      </c>
      <c r="F640" s="80">
        <v>233204</v>
      </c>
      <c r="G640" s="78">
        <v>72572934</v>
      </c>
      <c r="H640" s="78" t="s">
        <v>1740</v>
      </c>
      <c r="I640" t="s">
        <v>1557</v>
      </c>
    </row>
    <row r="641" spans="1:9">
      <c r="A641" s="78" t="s">
        <v>833</v>
      </c>
      <c r="B641" s="78" t="s">
        <v>1540</v>
      </c>
      <c r="C641" s="79" t="s">
        <v>1760</v>
      </c>
      <c r="D641" s="79" t="s">
        <v>1761</v>
      </c>
      <c r="E641" s="80">
        <v>0</v>
      </c>
      <c r="F641" s="80">
        <v>343326</v>
      </c>
      <c r="G641" s="78">
        <v>72806138</v>
      </c>
      <c r="H641" s="78" t="s">
        <v>1740</v>
      </c>
      <c r="I641" t="s">
        <v>1557</v>
      </c>
    </row>
    <row r="642" spans="1:9">
      <c r="A642" s="78" t="s">
        <v>836</v>
      </c>
      <c r="B642" s="78" t="s">
        <v>1540</v>
      </c>
      <c r="C642" s="79" t="s">
        <v>1762</v>
      </c>
      <c r="D642" s="79" t="s">
        <v>1763</v>
      </c>
      <c r="E642" s="80">
        <v>0</v>
      </c>
      <c r="F642" s="80">
        <v>1302194</v>
      </c>
      <c r="G642" s="78">
        <v>73149464</v>
      </c>
      <c r="H642" s="78" t="s">
        <v>1764</v>
      </c>
      <c r="I642" t="s">
        <v>1557</v>
      </c>
    </row>
    <row r="643" spans="1:9">
      <c r="A643" s="78" t="s">
        <v>839</v>
      </c>
      <c r="B643" s="78" t="s">
        <v>1540</v>
      </c>
      <c r="C643" s="79" t="s">
        <v>1765</v>
      </c>
      <c r="D643" s="79" t="s">
        <v>1766</v>
      </c>
      <c r="E643" s="80">
        <v>0</v>
      </c>
      <c r="F643" s="80">
        <v>173947</v>
      </c>
      <c r="G643" s="78">
        <v>74451658</v>
      </c>
      <c r="H643" s="78" t="s">
        <v>1764</v>
      </c>
      <c r="I643" t="s">
        <v>1557</v>
      </c>
    </row>
    <row r="644" spans="1:9">
      <c r="A644" s="78" t="s">
        <v>842</v>
      </c>
      <c r="B644" s="78" t="s">
        <v>1540</v>
      </c>
      <c r="C644" s="79" t="s">
        <v>1767</v>
      </c>
      <c r="D644" s="79" t="s">
        <v>1768</v>
      </c>
      <c r="E644" s="80">
        <v>0</v>
      </c>
      <c r="F644" s="80">
        <v>272884</v>
      </c>
      <c r="G644" s="78">
        <v>74625605</v>
      </c>
      <c r="H644" s="78" t="s">
        <v>1764</v>
      </c>
      <c r="I644" t="s">
        <v>1557</v>
      </c>
    </row>
    <row r="645" spans="1:9">
      <c r="A645" s="78" t="s">
        <v>845</v>
      </c>
      <c r="B645" s="78" t="s">
        <v>1540</v>
      </c>
      <c r="C645" s="79" t="s">
        <v>1769</v>
      </c>
      <c r="D645" s="79" t="s">
        <v>1770</v>
      </c>
      <c r="E645" s="80">
        <v>0</v>
      </c>
      <c r="F645" s="80">
        <v>379287</v>
      </c>
      <c r="G645" s="78">
        <v>74898489</v>
      </c>
      <c r="H645" s="78" t="s">
        <v>1764</v>
      </c>
      <c r="I645" t="s">
        <v>1557</v>
      </c>
    </row>
    <row r="646" spans="1:9">
      <c r="A646" s="78" t="s">
        <v>848</v>
      </c>
      <c r="B646" s="78" t="s">
        <v>1540</v>
      </c>
      <c r="C646" s="79" t="s">
        <v>1771</v>
      </c>
      <c r="D646" s="79" t="s">
        <v>1772</v>
      </c>
      <c r="E646" s="80">
        <v>0</v>
      </c>
      <c r="F646" s="80">
        <v>260884</v>
      </c>
      <c r="G646" s="78">
        <v>75277776</v>
      </c>
      <c r="H646" s="78" t="s">
        <v>1764</v>
      </c>
      <c r="I646" t="s">
        <v>1557</v>
      </c>
    </row>
    <row r="647" spans="1:9">
      <c r="A647" s="78" t="s">
        <v>851</v>
      </c>
      <c r="B647" s="78" t="s">
        <v>1540</v>
      </c>
      <c r="C647" s="79" t="s">
        <v>1773</v>
      </c>
      <c r="D647" s="79" t="s">
        <v>1774</v>
      </c>
      <c r="E647" s="80">
        <v>0</v>
      </c>
      <c r="F647" s="80">
        <v>180957</v>
      </c>
      <c r="G647" s="78">
        <v>75538660</v>
      </c>
      <c r="H647" s="78" t="s">
        <v>1764</v>
      </c>
      <c r="I647" t="s">
        <v>1557</v>
      </c>
    </row>
    <row r="648" spans="1:9">
      <c r="A648" s="78" t="s">
        <v>854</v>
      </c>
      <c r="B648" s="78" t="s">
        <v>1540</v>
      </c>
      <c r="C648" s="79" t="s">
        <v>1775</v>
      </c>
      <c r="D648" s="79" t="s">
        <v>1776</v>
      </c>
      <c r="E648" s="80">
        <v>0</v>
      </c>
      <c r="F648" s="80">
        <v>389247</v>
      </c>
      <c r="G648" s="78">
        <v>75719617</v>
      </c>
      <c r="H648" s="78" t="s">
        <v>1764</v>
      </c>
      <c r="I648" t="s">
        <v>1557</v>
      </c>
    </row>
    <row r="649" spans="1:9">
      <c r="A649" s="78" t="s">
        <v>857</v>
      </c>
      <c r="B649" s="78" t="s">
        <v>1540</v>
      </c>
      <c r="C649" s="79" t="s">
        <v>1777</v>
      </c>
      <c r="D649" s="79" t="s">
        <v>1778</v>
      </c>
      <c r="E649" s="80">
        <v>0</v>
      </c>
      <c r="F649" s="80">
        <v>174744</v>
      </c>
      <c r="G649" s="78">
        <v>76108864</v>
      </c>
      <c r="H649" s="78" t="s">
        <v>1764</v>
      </c>
      <c r="I649" t="s">
        <v>1557</v>
      </c>
    </row>
    <row r="650" spans="1:9">
      <c r="A650" s="78" t="s">
        <v>860</v>
      </c>
      <c r="B650" s="78" t="s">
        <v>1540</v>
      </c>
      <c r="C650" s="79" t="s">
        <v>1779</v>
      </c>
      <c r="D650" s="79" t="s">
        <v>1613</v>
      </c>
      <c r="E650" s="80">
        <v>0</v>
      </c>
      <c r="F650" s="80">
        <v>18105547</v>
      </c>
      <c r="G650" s="78">
        <v>76283608</v>
      </c>
      <c r="H650" s="78" t="s">
        <v>1764</v>
      </c>
      <c r="I650" t="s">
        <v>1557</v>
      </c>
    </row>
    <row r="651" spans="1:9">
      <c r="A651" s="78" t="s">
        <v>20</v>
      </c>
      <c r="B651" s="78" t="s">
        <v>1540</v>
      </c>
      <c r="C651" s="79" t="s">
        <v>1780</v>
      </c>
      <c r="D651" s="79" t="s">
        <v>1597</v>
      </c>
      <c r="E651" s="80">
        <v>0</v>
      </c>
      <c r="F651" s="80">
        <v>5450332</v>
      </c>
      <c r="G651" s="78">
        <v>94389155</v>
      </c>
      <c r="H651" s="78" t="s">
        <v>1764</v>
      </c>
      <c r="I651" t="s">
        <v>1557</v>
      </c>
    </row>
    <row r="652" spans="1:9">
      <c r="A652" s="78" t="s">
        <v>865</v>
      </c>
      <c r="B652" s="78" t="s">
        <v>1540</v>
      </c>
      <c r="C652" s="79" t="s">
        <v>1781</v>
      </c>
      <c r="D652" s="79" t="s">
        <v>1782</v>
      </c>
      <c r="E652" s="80">
        <v>0</v>
      </c>
      <c r="F652" s="80">
        <v>280080</v>
      </c>
      <c r="G652" s="78">
        <v>99839487</v>
      </c>
      <c r="H652" s="78" t="s">
        <v>1764</v>
      </c>
      <c r="I652" t="s">
        <v>1557</v>
      </c>
    </row>
    <row r="653" spans="1:9">
      <c r="A653" s="78" t="s">
        <v>868</v>
      </c>
      <c r="B653" s="78" t="s">
        <v>1540</v>
      </c>
      <c r="C653" s="79" t="s">
        <v>1783</v>
      </c>
      <c r="D653" s="79" t="s">
        <v>1654</v>
      </c>
      <c r="E653" s="80">
        <v>0</v>
      </c>
      <c r="F653" s="80">
        <v>7226901</v>
      </c>
      <c r="G653" s="78">
        <v>100119567</v>
      </c>
      <c r="H653" s="78" t="s">
        <v>1764</v>
      </c>
      <c r="I653" t="s">
        <v>1557</v>
      </c>
    </row>
    <row r="654" spans="1:9">
      <c r="A654" s="78" t="s">
        <v>871</v>
      </c>
      <c r="B654" s="78" t="s">
        <v>1540</v>
      </c>
      <c r="C654" s="79" t="s">
        <v>1784</v>
      </c>
      <c r="D654" s="79" t="s">
        <v>1785</v>
      </c>
      <c r="E654" s="80">
        <v>0</v>
      </c>
      <c r="F654" s="80">
        <v>241914</v>
      </c>
      <c r="G654" s="78">
        <v>107346468</v>
      </c>
      <c r="H654" s="78" t="s">
        <v>1764</v>
      </c>
      <c r="I654" t="s">
        <v>1557</v>
      </c>
    </row>
    <row r="655" spans="1:9">
      <c r="A655" s="78" t="s">
        <v>874</v>
      </c>
      <c r="B655" s="78" t="s">
        <v>1540</v>
      </c>
      <c r="C655" s="79" t="s">
        <v>1786</v>
      </c>
      <c r="D655" s="79" t="s">
        <v>1787</v>
      </c>
      <c r="E655" s="80">
        <v>0</v>
      </c>
      <c r="F655" s="80">
        <v>33154</v>
      </c>
      <c r="G655" s="78">
        <v>107588382</v>
      </c>
      <c r="H655" s="78" t="s">
        <v>1764</v>
      </c>
      <c r="I655" t="s">
        <v>1557</v>
      </c>
    </row>
    <row r="656" spans="1:9">
      <c r="A656" s="78" t="s">
        <v>877</v>
      </c>
      <c r="B656" s="78" t="s">
        <v>1540</v>
      </c>
      <c r="C656" s="79" t="s">
        <v>1788</v>
      </c>
      <c r="D656" s="79" t="s">
        <v>1789</v>
      </c>
      <c r="E656" s="80">
        <v>0</v>
      </c>
      <c r="F656" s="80">
        <v>228061</v>
      </c>
      <c r="G656" s="78">
        <v>107621536</v>
      </c>
      <c r="H656" s="78" t="s">
        <v>1764</v>
      </c>
      <c r="I656" t="s">
        <v>1557</v>
      </c>
    </row>
    <row r="657" spans="1:9">
      <c r="A657" s="78" t="s">
        <v>880</v>
      </c>
      <c r="B657" s="78" t="s">
        <v>1540</v>
      </c>
      <c r="C657" s="79" t="s">
        <v>1790</v>
      </c>
      <c r="D657" s="79" t="s">
        <v>1791</v>
      </c>
      <c r="E657" s="80">
        <v>0</v>
      </c>
      <c r="F657" s="80">
        <v>196855</v>
      </c>
      <c r="G657" s="78">
        <v>107849597</v>
      </c>
      <c r="H657" s="78" t="s">
        <v>1764</v>
      </c>
      <c r="I657" t="s">
        <v>1557</v>
      </c>
    </row>
    <row r="658" spans="1:9">
      <c r="A658" s="78" t="s">
        <v>883</v>
      </c>
      <c r="B658" s="78" t="s">
        <v>1540</v>
      </c>
      <c r="C658" s="79" t="s">
        <v>1792</v>
      </c>
      <c r="D658" s="79" t="s">
        <v>1793</v>
      </c>
      <c r="E658" s="80">
        <v>0</v>
      </c>
      <c r="F658" s="80">
        <v>260884</v>
      </c>
      <c r="G658" s="78">
        <v>108046452</v>
      </c>
      <c r="H658" s="78" t="s">
        <v>1764</v>
      </c>
      <c r="I658" t="s">
        <v>1557</v>
      </c>
    </row>
    <row r="659" spans="1:9">
      <c r="A659" s="78" t="s">
        <v>886</v>
      </c>
      <c r="B659" s="78" t="s">
        <v>1540</v>
      </c>
      <c r="C659" s="79" t="s">
        <v>1794</v>
      </c>
      <c r="D659" s="79" t="s">
        <v>1795</v>
      </c>
      <c r="E659" s="80">
        <v>0</v>
      </c>
      <c r="F659" s="80">
        <v>241914</v>
      </c>
      <c r="G659" s="78">
        <v>108307336</v>
      </c>
      <c r="H659" s="78" t="s">
        <v>1764</v>
      </c>
      <c r="I659" t="s">
        <v>1557</v>
      </c>
    </row>
    <row r="660" spans="1:9">
      <c r="A660" s="78" t="s">
        <v>889</v>
      </c>
      <c r="B660" s="78" t="s">
        <v>1540</v>
      </c>
      <c r="C660" s="79" t="s">
        <v>1796</v>
      </c>
      <c r="D660" s="79" t="s">
        <v>1648</v>
      </c>
      <c r="E660" s="80">
        <v>0</v>
      </c>
      <c r="F660" s="80">
        <v>9727301</v>
      </c>
      <c r="G660" s="78">
        <v>108549250</v>
      </c>
      <c r="H660" s="78" t="s">
        <v>1764</v>
      </c>
      <c r="I660" t="s">
        <v>1557</v>
      </c>
    </row>
    <row r="661" spans="1:9">
      <c r="A661" s="78" t="s">
        <v>892</v>
      </c>
      <c r="B661" s="78" t="s">
        <v>1540</v>
      </c>
      <c r="C661" s="79" t="s">
        <v>1797</v>
      </c>
      <c r="D661" s="79" t="s">
        <v>1798</v>
      </c>
      <c r="E661" s="80">
        <v>0</v>
      </c>
      <c r="F661" s="80">
        <v>275143</v>
      </c>
      <c r="G661" s="78">
        <v>118276551</v>
      </c>
      <c r="H661" s="78" t="s">
        <v>1764</v>
      </c>
      <c r="I661" t="s">
        <v>1557</v>
      </c>
    </row>
    <row r="662" spans="1:9">
      <c r="A662" s="78" t="s">
        <v>895</v>
      </c>
      <c r="B662" s="78" t="s">
        <v>1540</v>
      </c>
      <c r="C662" s="79" t="s">
        <v>1799</v>
      </c>
      <c r="D662" s="79" t="s">
        <v>1631</v>
      </c>
      <c r="E662" s="80">
        <v>0</v>
      </c>
      <c r="F662" s="80">
        <v>11042465</v>
      </c>
      <c r="G662" s="78">
        <v>118551694</v>
      </c>
      <c r="H662" s="78" t="s">
        <v>1764</v>
      </c>
      <c r="I662" t="s">
        <v>1557</v>
      </c>
    </row>
    <row r="663" spans="1:9">
      <c r="A663" s="78" t="s">
        <v>898</v>
      </c>
      <c r="B663" s="78" t="s">
        <v>1540</v>
      </c>
      <c r="C663" s="79" t="s">
        <v>1800</v>
      </c>
      <c r="D663" s="79" t="s">
        <v>1801</v>
      </c>
      <c r="E663" s="80">
        <v>0</v>
      </c>
      <c r="F663" s="80">
        <v>287037</v>
      </c>
      <c r="G663" s="78">
        <v>129594159</v>
      </c>
      <c r="H663" s="78" t="s">
        <v>1764</v>
      </c>
      <c r="I663" t="s">
        <v>1557</v>
      </c>
    </row>
    <row r="664" spans="1:9">
      <c r="A664" s="78" t="s">
        <v>901</v>
      </c>
      <c r="B664" s="78" t="s">
        <v>1540</v>
      </c>
      <c r="C664" s="79" t="s">
        <v>1802</v>
      </c>
      <c r="D664" s="79" t="s">
        <v>1803</v>
      </c>
      <c r="E664" s="80">
        <v>0</v>
      </c>
      <c r="F664" s="80">
        <v>267522</v>
      </c>
      <c r="G664" s="78">
        <v>129881196</v>
      </c>
      <c r="H664" s="78" t="s">
        <v>1764</v>
      </c>
      <c r="I664" t="s">
        <v>1557</v>
      </c>
    </row>
    <row r="665" spans="1:9">
      <c r="A665" s="78" t="s">
        <v>904</v>
      </c>
      <c r="B665" s="78" t="s">
        <v>1540</v>
      </c>
      <c r="C665" s="79" t="s">
        <v>1804</v>
      </c>
      <c r="D665" s="79" t="s">
        <v>1805</v>
      </c>
      <c r="E665" s="80">
        <v>0</v>
      </c>
      <c r="F665" s="80">
        <v>286937</v>
      </c>
      <c r="G665" s="78">
        <v>130148718</v>
      </c>
      <c r="H665" s="78" t="s">
        <v>1764</v>
      </c>
      <c r="I665" t="s">
        <v>1557</v>
      </c>
    </row>
    <row r="666" spans="1:9">
      <c r="A666" s="78" t="s">
        <v>907</v>
      </c>
      <c r="B666" s="78" t="s">
        <v>1540</v>
      </c>
      <c r="C666" s="79" t="s">
        <v>1806</v>
      </c>
      <c r="D666" s="79" t="s">
        <v>1807</v>
      </c>
      <c r="E666" s="80">
        <v>0</v>
      </c>
      <c r="F666" s="80">
        <v>273911</v>
      </c>
      <c r="G666" s="78">
        <v>130435655</v>
      </c>
      <c r="H666" s="78" t="s">
        <v>1764</v>
      </c>
      <c r="I666" t="s">
        <v>1557</v>
      </c>
    </row>
    <row r="667" spans="1:9">
      <c r="A667" s="78" t="s">
        <v>910</v>
      </c>
      <c r="B667" s="78" t="s">
        <v>1540</v>
      </c>
      <c r="C667" s="79" t="s">
        <v>1808</v>
      </c>
      <c r="D667" s="79" t="s">
        <v>1809</v>
      </c>
      <c r="E667" s="80">
        <v>0</v>
      </c>
      <c r="F667" s="80">
        <v>228061</v>
      </c>
      <c r="G667" s="78">
        <v>130709566</v>
      </c>
      <c r="H667" s="78" t="s">
        <v>1764</v>
      </c>
      <c r="I667" t="s">
        <v>1557</v>
      </c>
    </row>
    <row r="668" spans="1:9">
      <c r="A668" s="78" t="s">
        <v>913</v>
      </c>
      <c r="B668" s="78" t="s">
        <v>1540</v>
      </c>
      <c r="C668" s="79" t="s">
        <v>1810</v>
      </c>
      <c r="D668" s="79" t="s">
        <v>1591</v>
      </c>
      <c r="E668" s="80">
        <v>0</v>
      </c>
      <c r="F668" s="80">
        <v>2418220</v>
      </c>
      <c r="G668" s="78">
        <v>130937627</v>
      </c>
      <c r="H668" s="78" t="s">
        <v>1764</v>
      </c>
      <c r="I668" t="s">
        <v>1557</v>
      </c>
    </row>
    <row r="669" spans="1:9">
      <c r="A669" s="78" t="s">
        <v>916</v>
      </c>
      <c r="B669" s="78" t="s">
        <v>1540</v>
      </c>
      <c r="C669" s="79" t="s">
        <v>1811</v>
      </c>
      <c r="D669" s="79" t="s">
        <v>1812</v>
      </c>
      <c r="E669" s="80">
        <v>0</v>
      </c>
      <c r="F669" s="80">
        <v>10807950</v>
      </c>
      <c r="G669" s="78">
        <v>133355847</v>
      </c>
      <c r="H669" s="78" t="s">
        <v>1764</v>
      </c>
      <c r="I669" t="s">
        <v>1557</v>
      </c>
    </row>
    <row r="670" spans="1:9">
      <c r="A670" s="78" t="s">
        <v>919</v>
      </c>
      <c r="B670" s="78" t="s">
        <v>1540</v>
      </c>
      <c r="C670" s="79" t="s">
        <v>1813</v>
      </c>
      <c r="D670" s="79" t="s">
        <v>1814</v>
      </c>
      <c r="E670" s="80">
        <v>0</v>
      </c>
      <c r="F670" s="80">
        <v>16476520</v>
      </c>
      <c r="G670" s="78">
        <v>144163797</v>
      </c>
      <c r="H670" s="78" t="s">
        <v>1764</v>
      </c>
      <c r="I670" t="s">
        <v>1557</v>
      </c>
    </row>
    <row r="671" spans="1:9">
      <c r="A671" s="78" t="s">
        <v>922</v>
      </c>
      <c r="B671" s="78" t="s">
        <v>1540</v>
      </c>
      <c r="C671" s="79" t="s">
        <v>1815</v>
      </c>
      <c r="D671" s="79" t="s">
        <v>1816</v>
      </c>
      <c r="E671" s="80">
        <v>0</v>
      </c>
      <c r="F671" s="80">
        <v>216061</v>
      </c>
      <c r="G671" s="78">
        <v>160640317</v>
      </c>
      <c r="H671" s="78" t="s">
        <v>1764</v>
      </c>
      <c r="I671" t="s">
        <v>1557</v>
      </c>
    </row>
    <row r="672" spans="1:9">
      <c r="A672" s="78" t="s">
        <v>925</v>
      </c>
      <c r="B672" s="78" t="s">
        <v>1540</v>
      </c>
      <c r="C672" s="79" t="s">
        <v>1817</v>
      </c>
      <c r="D672" s="79" t="s">
        <v>1818</v>
      </c>
      <c r="E672" s="80">
        <v>0</v>
      </c>
      <c r="F672" s="80">
        <v>216061</v>
      </c>
      <c r="G672" s="78">
        <v>160856378</v>
      </c>
      <c r="H672" s="78" t="s">
        <v>1764</v>
      </c>
      <c r="I672" t="s">
        <v>1557</v>
      </c>
    </row>
    <row r="673" spans="1:9">
      <c r="A673" s="78" t="s">
        <v>928</v>
      </c>
      <c r="B673" s="78" t="s">
        <v>1540</v>
      </c>
      <c r="C673" s="79" t="s">
        <v>1819</v>
      </c>
      <c r="D673" s="79" t="s">
        <v>1820</v>
      </c>
      <c r="E673" s="80">
        <v>0</v>
      </c>
      <c r="F673" s="80">
        <v>3355537</v>
      </c>
      <c r="G673" s="78">
        <v>161072439</v>
      </c>
      <c r="H673" s="78" t="s">
        <v>1764</v>
      </c>
      <c r="I673" t="s">
        <v>1557</v>
      </c>
    </row>
    <row r="674" spans="1:9">
      <c r="A674" s="78" t="s">
        <v>931</v>
      </c>
      <c r="B674" s="78" t="s">
        <v>1540</v>
      </c>
      <c r="C674" s="79" t="s">
        <v>1821</v>
      </c>
      <c r="D674" s="79" t="s">
        <v>1822</v>
      </c>
      <c r="E674" s="80">
        <v>0</v>
      </c>
      <c r="F674" s="80">
        <v>254472</v>
      </c>
      <c r="G674" s="78">
        <v>164427976</v>
      </c>
      <c r="H674" s="78" t="s">
        <v>1764</v>
      </c>
      <c r="I674" t="s">
        <v>1557</v>
      </c>
    </row>
    <row r="675" spans="1:9">
      <c r="A675" s="78" t="s">
        <v>934</v>
      </c>
      <c r="B675" s="78" t="s">
        <v>1540</v>
      </c>
      <c r="C675" s="79" t="s">
        <v>1823</v>
      </c>
      <c r="D675" s="79" t="s">
        <v>1824</v>
      </c>
      <c r="E675" s="80">
        <v>0</v>
      </c>
      <c r="F675" s="80">
        <v>1529691</v>
      </c>
      <c r="G675" s="78">
        <v>164682448</v>
      </c>
      <c r="H675" s="78" t="s">
        <v>1764</v>
      </c>
      <c r="I675" t="s">
        <v>1557</v>
      </c>
    </row>
    <row r="676" spans="1:9">
      <c r="A676" s="78" t="s">
        <v>937</v>
      </c>
      <c r="B676" s="78" t="s">
        <v>1540</v>
      </c>
      <c r="C676" s="79" t="s">
        <v>1825</v>
      </c>
      <c r="D676" s="79" t="s">
        <v>1826</v>
      </c>
      <c r="E676" s="80">
        <v>0</v>
      </c>
      <c r="F676" s="80">
        <v>388509</v>
      </c>
      <c r="G676" s="78">
        <v>166212139</v>
      </c>
      <c r="H676" s="78" t="s">
        <v>1764</v>
      </c>
      <c r="I676" t="s">
        <v>1557</v>
      </c>
    </row>
    <row r="677" spans="1:9">
      <c r="A677" s="78" t="s">
        <v>940</v>
      </c>
      <c r="B677" s="78" t="s">
        <v>1540</v>
      </c>
      <c r="C677" s="79" t="s">
        <v>1827</v>
      </c>
      <c r="D677" s="79" t="s">
        <v>1828</v>
      </c>
      <c r="E677" s="80">
        <v>0</v>
      </c>
      <c r="F677" s="80">
        <v>305130</v>
      </c>
      <c r="G677" s="78">
        <v>166600648</v>
      </c>
      <c r="H677" s="78" t="s">
        <v>1764</v>
      </c>
      <c r="I677" t="s">
        <v>1557</v>
      </c>
    </row>
    <row r="678" spans="1:9">
      <c r="A678" s="78" t="s">
        <v>943</v>
      </c>
      <c r="B678" s="78" t="s">
        <v>1540</v>
      </c>
      <c r="C678" s="79" t="s">
        <v>1829</v>
      </c>
      <c r="D678" s="79" t="s">
        <v>1830</v>
      </c>
      <c r="E678" s="80">
        <v>0</v>
      </c>
      <c r="F678" s="80">
        <v>218274</v>
      </c>
      <c r="G678" s="78">
        <v>166905778</v>
      </c>
      <c r="H678" s="78" t="s">
        <v>1764</v>
      </c>
      <c r="I678" t="s">
        <v>1557</v>
      </c>
    </row>
    <row r="679" spans="1:9">
      <c r="A679" s="78" t="s">
        <v>946</v>
      </c>
      <c r="B679" s="78" t="s">
        <v>1540</v>
      </c>
      <c r="C679" s="79" t="s">
        <v>1831</v>
      </c>
      <c r="D679" s="79" t="s">
        <v>1832</v>
      </c>
      <c r="E679" s="80">
        <v>0</v>
      </c>
      <c r="F679" s="80">
        <v>218274</v>
      </c>
      <c r="G679" s="78">
        <v>167124052</v>
      </c>
      <c r="H679" s="78" t="s">
        <v>1764</v>
      </c>
      <c r="I679" t="s">
        <v>1557</v>
      </c>
    </row>
    <row r="680" spans="1:9">
      <c r="A680" s="78" t="s">
        <v>949</v>
      </c>
      <c r="B680" s="78" t="s">
        <v>1540</v>
      </c>
      <c r="C680" s="79" t="s">
        <v>1833</v>
      </c>
      <c r="D680" s="79" t="s">
        <v>1834</v>
      </c>
      <c r="E680" s="80">
        <v>0</v>
      </c>
      <c r="F680" s="80">
        <v>7833372</v>
      </c>
      <c r="G680" s="78">
        <v>167342326</v>
      </c>
      <c r="H680" s="78" t="s">
        <v>1764</v>
      </c>
      <c r="I680" t="s">
        <v>1557</v>
      </c>
    </row>
    <row r="681" spans="1:9">
      <c r="A681" s="78" t="s">
        <v>952</v>
      </c>
      <c r="B681" s="78" t="s">
        <v>1540</v>
      </c>
      <c r="C681" s="79" t="s">
        <v>1835</v>
      </c>
      <c r="D681" s="79" t="s">
        <v>1836</v>
      </c>
      <c r="E681" s="80">
        <v>0</v>
      </c>
      <c r="F681" s="80">
        <v>206274</v>
      </c>
      <c r="G681" s="78">
        <v>175175698</v>
      </c>
      <c r="H681" s="78" t="s">
        <v>1764</v>
      </c>
      <c r="I681" t="s">
        <v>1557</v>
      </c>
    </row>
    <row r="682" spans="1:9">
      <c r="A682" s="78" t="s">
        <v>955</v>
      </c>
      <c r="B682" s="78" t="s">
        <v>1540</v>
      </c>
      <c r="C682" s="79" t="s">
        <v>1837</v>
      </c>
      <c r="D682" s="79" t="s">
        <v>1639</v>
      </c>
      <c r="E682" s="80">
        <v>0</v>
      </c>
      <c r="F682" s="80">
        <v>5432385</v>
      </c>
      <c r="G682" s="78">
        <v>175381972</v>
      </c>
      <c r="H682" s="78" t="s">
        <v>1764</v>
      </c>
      <c r="I682" t="s">
        <v>1557</v>
      </c>
    </row>
    <row r="683" spans="1:9">
      <c r="A683" s="78" t="s">
        <v>958</v>
      </c>
      <c r="B683" s="78" t="s">
        <v>1540</v>
      </c>
      <c r="C683" s="79" t="s">
        <v>1838</v>
      </c>
      <c r="D683" s="79" t="s">
        <v>1839</v>
      </c>
      <c r="E683" s="80">
        <v>0</v>
      </c>
      <c r="F683" s="80">
        <v>425791</v>
      </c>
      <c r="G683" s="78">
        <v>180814357</v>
      </c>
      <c r="H683" s="78" t="s">
        <v>1764</v>
      </c>
      <c r="I683" t="s">
        <v>1557</v>
      </c>
    </row>
    <row r="684" spans="1:9">
      <c r="A684" s="78" t="s">
        <v>961</v>
      </c>
      <c r="B684" s="78" t="s">
        <v>1540</v>
      </c>
      <c r="C684" s="79" t="s">
        <v>1840</v>
      </c>
      <c r="D684" s="79" t="s">
        <v>1841</v>
      </c>
      <c r="E684" s="80">
        <v>0</v>
      </c>
      <c r="F684" s="80">
        <v>213664</v>
      </c>
      <c r="G684" s="78">
        <v>181240148</v>
      </c>
      <c r="H684" s="78" t="s">
        <v>1842</v>
      </c>
      <c r="I684" t="s">
        <v>1557</v>
      </c>
    </row>
    <row r="685" spans="1:9">
      <c r="A685" s="78" t="s">
        <v>964</v>
      </c>
      <c r="B685" s="78" t="s">
        <v>1540</v>
      </c>
      <c r="C685" s="79" t="s">
        <v>1843</v>
      </c>
      <c r="D685" s="79" t="s">
        <v>1844</v>
      </c>
      <c r="E685" s="80">
        <v>0</v>
      </c>
      <c r="F685" s="80">
        <v>286937</v>
      </c>
      <c r="G685" s="78">
        <v>181453812</v>
      </c>
      <c r="H685" s="78" t="s">
        <v>1842</v>
      </c>
      <c r="I685" t="s">
        <v>1557</v>
      </c>
    </row>
    <row r="686" spans="1:9">
      <c r="A686" s="78" t="s">
        <v>967</v>
      </c>
      <c r="B686" s="78" t="s">
        <v>1540</v>
      </c>
      <c r="C686" s="79" t="s">
        <v>1845</v>
      </c>
      <c r="D686" s="79" t="s">
        <v>1846</v>
      </c>
      <c r="E686" s="80">
        <v>0</v>
      </c>
      <c r="F686" s="80">
        <v>183717</v>
      </c>
      <c r="G686" s="78">
        <v>181740749</v>
      </c>
      <c r="H686" s="78" t="s">
        <v>1842</v>
      </c>
      <c r="I686" t="s">
        <v>1557</v>
      </c>
    </row>
    <row r="687" spans="1:9">
      <c r="A687" s="78" t="s">
        <v>970</v>
      </c>
      <c r="B687" s="78" t="s">
        <v>1540</v>
      </c>
      <c r="C687" s="79" t="s">
        <v>1847</v>
      </c>
      <c r="D687" s="79" t="s">
        <v>1848</v>
      </c>
      <c r="E687" s="80">
        <v>0</v>
      </c>
      <c r="F687" s="80">
        <v>7655514</v>
      </c>
      <c r="G687" s="78">
        <v>181924466</v>
      </c>
      <c r="H687" s="78" t="s">
        <v>1842</v>
      </c>
      <c r="I687" t="s">
        <v>1557</v>
      </c>
    </row>
    <row r="688" spans="1:9">
      <c r="A688" s="78" t="s">
        <v>973</v>
      </c>
      <c r="B688" s="78" t="s">
        <v>1540</v>
      </c>
      <c r="C688" s="79" t="s">
        <v>1849</v>
      </c>
      <c r="D688" s="79" t="s">
        <v>1850</v>
      </c>
      <c r="E688" s="80">
        <v>0</v>
      </c>
      <c r="F688" s="80">
        <v>187436</v>
      </c>
      <c r="G688" s="78">
        <v>189579980</v>
      </c>
      <c r="H688" s="78" t="s">
        <v>1842</v>
      </c>
      <c r="I688" t="s">
        <v>1557</v>
      </c>
    </row>
    <row r="689" spans="1:9">
      <c r="A689" s="78" t="s">
        <v>976</v>
      </c>
      <c r="B689" s="78" t="s">
        <v>1540</v>
      </c>
      <c r="C689" s="79" t="s">
        <v>1851</v>
      </c>
      <c r="D689" s="79" t="s">
        <v>1852</v>
      </c>
      <c r="E689" s="80">
        <v>0</v>
      </c>
      <c r="F689" s="80">
        <v>202461</v>
      </c>
      <c r="G689" s="78">
        <v>189767416</v>
      </c>
      <c r="H689" s="78" t="s">
        <v>1842</v>
      </c>
      <c r="I689" t="s">
        <v>1557</v>
      </c>
    </row>
    <row r="690" spans="1:9">
      <c r="A690" s="78" t="s">
        <v>979</v>
      </c>
      <c r="B690" s="78" t="s">
        <v>1540</v>
      </c>
      <c r="C690" s="79" t="s">
        <v>1853</v>
      </c>
      <c r="D690" s="79" t="s">
        <v>1854</v>
      </c>
      <c r="E690" s="80">
        <v>0</v>
      </c>
      <c r="F690" s="80">
        <v>249982</v>
      </c>
      <c r="G690" s="78">
        <v>189969877</v>
      </c>
      <c r="H690" s="78" t="s">
        <v>1842</v>
      </c>
      <c r="I690" t="s">
        <v>1557</v>
      </c>
    </row>
    <row r="691" spans="1:9">
      <c r="A691" s="78" t="s">
        <v>982</v>
      </c>
      <c r="B691" s="78" t="s">
        <v>1540</v>
      </c>
      <c r="C691" s="79" t="s">
        <v>1855</v>
      </c>
      <c r="D691" s="79" t="s">
        <v>1856</v>
      </c>
      <c r="E691" s="80">
        <v>0</v>
      </c>
      <c r="F691" s="80">
        <v>206642</v>
      </c>
      <c r="G691" s="78">
        <v>190219859</v>
      </c>
      <c r="H691" s="78" t="s">
        <v>1842</v>
      </c>
      <c r="I691" t="s">
        <v>1557</v>
      </c>
    </row>
    <row r="692" spans="1:9">
      <c r="A692" s="78" t="s">
        <v>985</v>
      </c>
      <c r="B692" s="78" t="s">
        <v>1540</v>
      </c>
      <c r="C692" s="79" t="s">
        <v>1857</v>
      </c>
      <c r="D692" s="79" t="s">
        <v>1858</v>
      </c>
      <c r="E692" s="80">
        <v>150000000</v>
      </c>
      <c r="F692" s="80">
        <v>0</v>
      </c>
      <c r="G692" s="78">
        <v>190426501</v>
      </c>
      <c r="H692" s="78" t="s">
        <v>1859</v>
      </c>
      <c r="I692" t="s">
        <v>1557</v>
      </c>
    </row>
    <row r="693" spans="1:9">
      <c r="A693" s="78" t="s">
        <v>988</v>
      </c>
      <c r="B693" s="78" t="s">
        <v>1860</v>
      </c>
      <c r="C693" s="79" t="s">
        <v>1861</v>
      </c>
      <c r="D693" s="79" t="s">
        <v>1862</v>
      </c>
      <c r="E693" s="80">
        <v>0</v>
      </c>
      <c r="F693" s="80">
        <v>206274</v>
      </c>
      <c r="G693" s="78">
        <v>40426501</v>
      </c>
      <c r="H693" s="78" t="s">
        <v>1863</v>
      </c>
      <c r="I693" t="s">
        <v>1557</v>
      </c>
    </row>
    <row r="694" spans="1:9">
      <c r="A694" s="78" t="s">
        <v>991</v>
      </c>
      <c r="B694" s="78" t="s">
        <v>1860</v>
      </c>
      <c r="C694" s="79" t="s">
        <v>1864</v>
      </c>
      <c r="D694" s="79" t="s">
        <v>1865</v>
      </c>
      <c r="E694" s="80">
        <v>0</v>
      </c>
      <c r="F694" s="80">
        <v>326118</v>
      </c>
      <c r="G694" s="78">
        <v>40632775</v>
      </c>
      <c r="H694" s="78" t="s">
        <v>1866</v>
      </c>
      <c r="I694" t="s">
        <v>1557</v>
      </c>
    </row>
    <row r="695" spans="1:9">
      <c r="A695" s="78" t="s">
        <v>994</v>
      </c>
      <c r="B695" s="78" t="s">
        <v>1860</v>
      </c>
      <c r="C695" s="79" t="s">
        <v>1867</v>
      </c>
      <c r="D695" s="79" t="s">
        <v>1625</v>
      </c>
      <c r="E695" s="80">
        <v>0</v>
      </c>
      <c r="F695" s="80">
        <v>5191577</v>
      </c>
      <c r="G695" s="78">
        <v>40958893</v>
      </c>
      <c r="H695" s="78" t="s">
        <v>1866</v>
      </c>
      <c r="I695" t="s">
        <v>1557</v>
      </c>
    </row>
    <row r="696" spans="1:9">
      <c r="A696" s="78" t="s">
        <v>997</v>
      </c>
      <c r="B696" s="78" t="s">
        <v>1860</v>
      </c>
      <c r="C696" s="79" t="s">
        <v>1868</v>
      </c>
      <c r="D696" s="79" t="s">
        <v>1869</v>
      </c>
      <c r="E696" s="80">
        <v>0</v>
      </c>
      <c r="F696" s="80">
        <v>163059</v>
      </c>
      <c r="G696" s="78">
        <v>46150470</v>
      </c>
      <c r="H696" s="78" t="s">
        <v>1866</v>
      </c>
      <c r="I696" t="s">
        <v>1557</v>
      </c>
    </row>
    <row r="697" spans="1:9">
      <c r="A697" s="78" t="s">
        <v>1000</v>
      </c>
      <c r="B697" s="78" t="s">
        <v>1860</v>
      </c>
      <c r="C697" s="79" t="s">
        <v>1870</v>
      </c>
      <c r="D697" s="79" t="s">
        <v>1871</v>
      </c>
      <c r="E697" s="80">
        <v>0</v>
      </c>
      <c r="F697" s="80">
        <v>206274</v>
      </c>
      <c r="G697" s="78">
        <v>46313529</v>
      </c>
      <c r="H697" s="78" t="s">
        <v>1866</v>
      </c>
      <c r="I697" t="s">
        <v>1557</v>
      </c>
    </row>
    <row r="698" spans="1:9">
      <c r="A698" s="78" t="s">
        <v>1003</v>
      </c>
      <c r="B698" s="78" t="s">
        <v>1860</v>
      </c>
      <c r="C698" s="79" t="s">
        <v>1872</v>
      </c>
      <c r="D698" s="79" t="s">
        <v>1873</v>
      </c>
      <c r="E698" s="80">
        <v>0</v>
      </c>
      <c r="F698" s="80">
        <v>216061</v>
      </c>
      <c r="G698" s="78">
        <v>46519803</v>
      </c>
      <c r="H698" s="78" t="s">
        <v>1866</v>
      </c>
      <c r="I698" t="s">
        <v>1557</v>
      </c>
    </row>
    <row r="699" spans="1:9">
      <c r="A699" s="78" t="s">
        <v>1006</v>
      </c>
      <c r="B699" s="78" t="s">
        <v>1860</v>
      </c>
      <c r="C699" s="79" t="s">
        <v>1874</v>
      </c>
      <c r="D699" s="79" t="s">
        <v>1615</v>
      </c>
      <c r="E699" s="80">
        <v>0</v>
      </c>
      <c r="F699" s="80">
        <v>6938660</v>
      </c>
      <c r="G699" s="78">
        <v>46735864</v>
      </c>
      <c r="H699" s="78" t="s">
        <v>1866</v>
      </c>
      <c r="I699" t="s">
        <v>1557</v>
      </c>
    </row>
    <row r="700" spans="1:9">
      <c r="A700" s="78" t="s">
        <v>1009</v>
      </c>
      <c r="B700" s="78" t="s">
        <v>1860</v>
      </c>
      <c r="C700" s="79" t="s">
        <v>1875</v>
      </c>
      <c r="D700" s="79" t="s">
        <v>1832</v>
      </c>
      <c r="E700" s="80">
        <v>0</v>
      </c>
      <c r="F700" s="80">
        <v>5182157</v>
      </c>
      <c r="G700" s="78">
        <v>53674524</v>
      </c>
      <c r="H700" s="78" t="s">
        <v>1866</v>
      </c>
      <c r="I700" t="s">
        <v>1557</v>
      </c>
    </row>
    <row r="701" spans="1:9">
      <c r="A701" s="78" t="s">
        <v>1012</v>
      </c>
      <c r="B701" s="78" t="s">
        <v>1860</v>
      </c>
      <c r="C701" s="79" t="s">
        <v>1876</v>
      </c>
      <c r="D701" s="79" t="s">
        <v>1809</v>
      </c>
      <c r="E701" s="80">
        <v>0</v>
      </c>
      <c r="F701" s="80">
        <v>5172369</v>
      </c>
      <c r="G701" s="78">
        <v>58856681</v>
      </c>
      <c r="H701" s="78" t="s">
        <v>1866</v>
      </c>
      <c r="I701" t="s">
        <v>1557</v>
      </c>
    </row>
    <row r="702" spans="1:9">
      <c r="A702" s="78" t="s">
        <v>1015</v>
      </c>
      <c r="B702" s="78" t="s">
        <v>1860</v>
      </c>
      <c r="C702" s="79" t="s">
        <v>1877</v>
      </c>
      <c r="D702" s="79" t="s">
        <v>1878</v>
      </c>
      <c r="E702" s="80">
        <v>0</v>
      </c>
      <c r="F702" s="80">
        <v>148655</v>
      </c>
      <c r="G702" s="78">
        <v>64029050</v>
      </c>
      <c r="H702" s="78" t="s">
        <v>1866</v>
      </c>
      <c r="I702" t="s">
        <v>1557</v>
      </c>
    </row>
    <row r="703" spans="1:9">
      <c r="A703" s="78" t="s">
        <v>1018</v>
      </c>
      <c r="B703" s="78" t="s">
        <v>1860</v>
      </c>
      <c r="C703" s="79" t="s">
        <v>1879</v>
      </c>
      <c r="D703" s="79" t="s">
        <v>1880</v>
      </c>
      <c r="E703" s="80">
        <v>0</v>
      </c>
      <c r="F703" s="80">
        <v>211434</v>
      </c>
      <c r="G703" s="78">
        <v>64177705</v>
      </c>
      <c r="H703" s="78" t="s">
        <v>1866</v>
      </c>
      <c r="I703" t="s">
        <v>1557</v>
      </c>
    </row>
    <row r="704" spans="1:9">
      <c r="A704" s="78" t="s">
        <v>1021</v>
      </c>
      <c r="B704" s="78" t="s">
        <v>1860</v>
      </c>
      <c r="C704" s="79" t="s">
        <v>1881</v>
      </c>
      <c r="D704" s="79" t="s">
        <v>1882</v>
      </c>
      <c r="E704" s="80">
        <v>0</v>
      </c>
      <c r="F704" s="80">
        <v>211434</v>
      </c>
      <c r="G704" s="78">
        <v>64389139</v>
      </c>
      <c r="H704" s="78" t="s">
        <v>1883</v>
      </c>
      <c r="I704" t="s">
        <v>1557</v>
      </c>
    </row>
    <row r="705" spans="1:9">
      <c r="A705" s="78" t="s">
        <v>1024</v>
      </c>
      <c r="B705" s="78" t="s">
        <v>1860</v>
      </c>
      <c r="C705" s="79" t="s">
        <v>1884</v>
      </c>
      <c r="D705" s="79" t="s">
        <v>1841</v>
      </c>
      <c r="E705" s="80">
        <v>0</v>
      </c>
      <c r="F705" s="80">
        <v>5432385</v>
      </c>
      <c r="G705" s="78">
        <v>64600573</v>
      </c>
      <c r="H705" s="78" t="s">
        <v>1883</v>
      </c>
      <c r="I705" t="s">
        <v>1557</v>
      </c>
    </row>
    <row r="706" spans="1:9">
      <c r="A706" s="78" t="s">
        <v>1027</v>
      </c>
      <c r="B706" s="78" t="s">
        <v>1860</v>
      </c>
      <c r="C706" s="79" t="s">
        <v>1885</v>
      </c>
      <c r="D706" s="79" t="s">
        <v>1568</v>
      </c>
      <c r="E706" s="80">
        <v>0</v>
      </c>
      <c r="F706" s="80">
        <v>6926102</v>
      </c>
      <c r="G706" s="78">
        <v>70032958</v>
      </c>
      <c r="H706" s="78" t="s">
        <v>1883</v>
      </c>
      <c r="I706" t="s">
        <v>1557</v>
      </c>
    </row>
    <row r="707" spans="1:9">
      <c r="A707" s="78" t="s">
        <v>1030</v>
      </c>
      <c r="B707" s="78" t="s">
        <v>1860</v>
      </c>
      <c r="C707" s="79" t="s">
        <v>1886</v>
      </c>
      <c r="D707" s="79" t="s">
        <v>1887</v>
      </c>
      <c r="E707" s="80">
        <v>0</v>
      </c>
      <c r="F707" s="80">
        <v>12972262</v>
      </c>
      <c r="G707" s="78">
        <v>76959060</v>
      </c>
      <c r="H707" s="78" t="s">
        <v>1883</v>
      </c>
      <c r="I707" t="s">
        <v>1557</v>
      </c>
    </row>
    <row r="708" spans="1:9">
      <c r="A708" s="78" t="s">
        <v>1033</v>
      </c>
      <c r="B708" s="78" t="s">
        <v>1860</v>
      </c>
      <c r="C708" s="79" t="s">
        <v>1888</v>
      </c>
      <c r="D708" s="79" t="s">
        <v>1889</v>
      </c>
      <c r="E708" s="80">
        <v>0</v>
      </c>
      <c r="F708" s="80">
        <v>206274</v>
      </c>
      <c r="G708" s="78">
        <v>89931322</v>
      </c>
      <c r="H708" s="78" t="s">
        <v>1890</v>
      </c>
      <c r="I708" t="s">
        <v>1557</v>
      </c>
    </row>
    <row r="709" spans="1:9">
      <c r="A709" s="78" t="s">
        <v>1036</v>
      </c>
      <c r="B709" s="78" t="s">
        <v>1860</v>
      </c>
      <c r="C709" s="79" t="s">
        <v>1891</v>
      </c>
      <c r="D709" s="79" t="s">
        <v>1830</v>
      </c>
      <c r="E709" s="80">
        <v>0</v>
      </c>
      <c r="F709" s="80">
        <v>5182157</v>
      </c>
      <c r="G709" s="78">
        <v>90137596</v>
      </c>
      <c r="H709" s="78" t="s">
        <v>1890</v>
      </c>
      <c r="I709" t="s">
        <v>1557</v>
      </c>
    </row>
    <row r="710" spans="1:9">
      <c r="A710" s="78" t="s">
        <v>1039</v>
      </c>
      <c r="B710" s="78" t="s">
        <v>1860</v>
      </c>
      <c r="C710" s="79" t="s">
        <v>1892</v>
      </c>
      <c r="D710" s="79" t="s">
        <v>1893</v>
      </c>
      <c r="E710" s="80">
        <v>0</v>
      </c>
      <c r="F710" s="80">
        <v>326118</v>
      </c>
      <c r="G710" s="78">
        <v>95319753</v>
      </c>
      <c r="H710" s="78" t="s">
        <v>1890</v>
      </c>
      <c r="I710" t="s">
        <v>1557</v>
      </c>
    </row>
    <row r="711" spans="1:9">
      <c r="A711" s="78" t="s">
        <v>1042</v>
      </c>
      <c r="B711" s="78" t="s">
        <v>1860</v>
      </c>
      <c r="C711" s="79" t="s">
        <v>1894</v>
      </c>
      <c r="D711" s="79" t="s">
        <v>1895</v>
      </c>
      <c r="E711" s="80">
        <v>0</v>
      </c>
      <c r="F711" s="80">
        <v>229356</v>
      </c>
      <c r="G711" s="78">
        <v>95645871</v>
      </c>
      <c r="H711" s="78" t="s">
        <v>1890</v>
      </c>
      <c r="I711" t="s">
        <v>1557</v>
      </c>
    </row>
    <row r="712" spans="1:9">
      <c r="A712" s="78" t="s">
        <v>1045</v>
      </c>
      <c r="B712" s="78" t="s">
        <v>1860</v>
      </c>
      <c r="C712" s="79" t="s">
        <v>1896</v>
      </c>
      <c r="D712" s="79" t="s">
        <v>1897</v>
      </c>
      <c r="E712" s="80">
        <v>0</v>
      </c>
      <c r="F712" s="80">
        <v>350839</v>
      </c>
      <c r="G712" s="78">
        <v>95875227</v>
      </c>
      <c r="H712" s="78" t="s">
        <v>1890</v>
      </c>
      <c r="I712" t="s">
        <v>1557</v>
      </c>
    </row>
    <row r="713" spans="1:9">
      <c r="A713" s="78" t="s">
        <v>1048</v>
      </c>
      <c r="B713" s="78" t="s">
        <v>1860</v>
      </c>
      <c r="C713" s="79" t="s">
        <v>1898</v>
      </c>
      <c r="D713" s="79" t="s">
        <v>1899</v>
      </c>
      <c r="E713" s="80">
        <v>0</v>
      </c>
      <c r="F713" s="80">
        <v>326118</v>
      </c>
      <c r="G713" s="78">
        <v>96226066</v>
      </c>
      <c r="H713" s="78" t="s">
        <v>1890</v>
      </c>
      <c r="I713" t="s">
        <v>1557</v>
      </c>
    </row>
    <row r="714" spans="1:9">
      <c r="A714" s="78" t="s">
        <v>1051</v>
      </c>
      <c r="B714" s="78" t="s">
        <v>1860</v>
      </c>
      <c r="C714" s="79" t="s">
        <v>1900</v>
      </c>
      <c r="D714" s="79" t="s">
        <v>1901</v>
      </c>
      <c r="E714" s="80">
        <v>0</v>
      </c>
      <c r="F714" s="80">
        <v>216061</v>
      </c>
      <c r="G714" s="78">
        <v>96552184</v>
      </c>
      <c r="H714" s="78" t="s">
        <v>1890</v>
      </c>
      <c r="I714" t="s">
        <v>1557</v>
      </c>
    </row>
    <row r="715" spans="1:9">
      <c r="A715" s="78" t="s">
        <v>1054</v>
      </c>
      <c r="B715" s="78" t="s">
        <v>1860</v>
      </c>
      <c r="C715" s="79" t="s">
        <v>1902</v>
      </c>
      <c r="D715" s="79" t="s">
        <v>1593</v>
      </c>
      <c r="E715" s="80">
        <v>0</v>
      </c>
      <c r="F715" s="80">
        <v>16747912</v>
      </c>
      <c r="G715" s="78">
        <v>96768245</v>
      </c>
      <c r="H715" s="78" t="s">
        <v>1903</v>
      </c>
      <c r="I715" t="s">
        <v>1557</v>
      </c>
    </row>
    <row r="716" spans="1:9">
      <c r="A716" s="78" t="s">
        <v>1057</v>
      </c>
      <c r="B716" s="78" t="s">
        <v>1860</v>
      </c>
      <c r="C716" s="79" t="s">
        <v>1904</v>
      </c>
      <c r="D716" s="79" t="s">
        <v>1789</v>
      </c>
      <c r="E716" s="80">
        <v>0</v>
      </c>
      <c r="F716" s="80">
        <v>5172369</v>
      </c>
      <c r="G716" s="78">
        <v>113516157</v>
      </c>
      <c r="H716" s="78" t="s">
        <v>1903</v>
      </c>
      <c r="I716" t="s">
        <v>1557</v>
      </c>
    </row>
    <row r="717" spans="1:9">
      <c r="A717" s="78" t="s">
        <v>1060</v>
      </c>
      <c r="B717" s="78" t="s">
        <v>1860</v>
      </c>
      <c r="C717" s="79" t="s">
        <v>1905</v>
      </c>
      <c r="D717" s="79" t="s">
        <v>1768</v>
      </c>
      <c r="E717" s="80">
        <v>0</v>
      </c>
      <c r="F717" s="80">
        <v>7247181</v>
      </c>
      <c r="G717" s="78">
        <v>118688526</v>
      </c>
      <c r="H717" s="78" t="s">
        <v>1906</v>
      </c>
      <c r="I717" t="s">
        <v>1557</v>
      </c>
    </row>
    <row r="718" spans="1:9">
      <c r="A718" s="78" t="s">
        <v>1063</v>
      </c>
      <c r="B718" s="78" t="s">
        <v>1860</v>
      </c>
      <c r="C718" s="79" t="s">
        <v>1907</v>
      </c>
      <c r="D718" s="79" t="s">
        <v>1759</v>
      </c>
      <c r="E718" s="80">
        <v>0</v>
      </c>
      <c r="F718" s="80">
        <v>5422615</v>
      </c>
      <c r="G718" s="78">
        <v>125935707</v>
      </c>
      <c r="H718" s="78" t="s">
        <v>1906</v>
      </c>
      <c r="I718" t="s">
        <v>1557</v>
      </c>
    </row>
    <row r="719" spans="1:9">
      <c r="A719" s="78" t="s">
        <v>1066</v>
      </c>
      <c r="B719" s="78" t="s">
        <v>1860</v>
      </c>
      <c r="C719" s="79" t="s">
        <v>1908</v>
      </c>
      <c r="D719" s="79" t="s">
        <v>1909</v>
      </c>
      <c r="E719" s="80">
        <v>0</v>
      </c>
      <c r="F719" s="80">
        <v>6109992</v>
      </c>
      <c r="G719" s="78">
        <v>131358322</v>
      </c>
      <c r="H719" s="78" t="s">
        <v>1906</v>
      </c>
      <c r="I719" t="s">
        <v>1557</v>
      </c>
    </row>
    <row r="720" spans="1:9">
      <c r="A720" s="78" t="s">
        <v>1069</v>
      </c>
      <c r="B720" s="78" t="s">
        <v>1860</v>
      </c>
      <c r="C720" s="79" t="s">
        <v>1910</v>
      </c>
      <c r="D720" s="79" t="s">
        <v>1828</v>
      </c>
      <c r="E720" s="80">
        <v>0</v>
      </c>
      <c r="F720" s="80">
        <v>6900494</v>
      </c>
      <c r="G720" s="78">
        <v>137468314</v>
      </c>
      <c r="H720" s="78" t="s">
        <v>1906</v>
      </c>
      <c r="I720" t="s">
        <v>1557</v>
      </c>
    </row>
    <row r="721" spans="1:9">
      <c r="A721" s="78" t="s">
        <v>1072</v>
      </c>
      <c r="B721" s="78" t="s">
        <v>1860</v>
      </c>
      <c r="C721" s="79" t="s">
        <v>1911</v>
      </c>
      <c r="D721" s="79" t="s">
        <v>1912</v>
      </c>
      <c r="E721" s="80">
        <v>0</v>
      </c>
      <c r="F721" s="80">
        <v>655355</v>
      </c>
      <c r="G721" s="78">
        <v>144368808</v>
      </c>
      <c r="H721" s="78" t="s">
        <v>1906</v>
      </c>
      <c r="I721" t="s">
        <v>1557</v>
      </c>
    </row>
    <row r="722" spans="1:9">
      <c r="A722" s="78" t="s">
        <v>1075</v>
      </c>
      <c r="B722" s="78" t="s">
        <v>1860</v>
      </c>
      <c r="C722" s="79" t="s">
        <v>1913</v>
      </c>
      <c r="D722" s="79" t="s">
        <v>1914</v>
      </c>
      <c r="E722" s="80">
        <v>120000000</v>
      </c>
      <c r="F722" s="80">
        <v>0</v>
      </c>
      <c r="G722" s="78">
        <v>145024163</v>
      </c>
      <c r="H722" s="78" t="s">
        <v>1915</v>
      </c>
      <c r="I722" t="s">
        <v>1557</v>
      </c>
    </row>
    <row r="723" spans="1:9">
      <c r="A723" s="78" t="s">
        <v>1078</v>
      </c>
      <c r="B723" s="78" t="s">
        <v>1916</v>
      </c>
      <c r="C723" s="79" t="s">
        <v>1917</v>
      </c>
      <c r="D723" s="79" t="s">
        <v>1918</v>
      </c>
      <c r="E723" s="80">
        <v>0</v>
      </c>
      <c r="F723" s="80">
        <v>7196000</v>
      </c>
      <c r="G723" s="78">
        <v>25024163</v>
      </c>
      <c r="H723" s="78" t="s">
        <v>1919</v>
      </c>
      <c r="I723" t="s">
        <v>1557</v>
      </c>
    </row>
    <row r="724" spans="1:9">
      <c r="A724" s="78" t="s">
        <v>1081</v>
      </c>
      <c r="B724" s="78" t="s">
        <v>1916</v>
      </c>
      <c r="C724" s="79" t="s">
        <v>1920</v>
      </c>
      <c r="D724" s="79" t="s">
        <v>1921</v>
      </c>
      <c r="E724" s="80">
        <v>0</v>
      </c>
      <c r="F724" s="80">
        <v>235893</v>
      </c>
      <c r="G724" s="78">
        <v>32220163</v>
      </c>
      <c r="H724" s="78" t="s">
        <v>1922</v>
      </c>
      <c r="I724" t="s">
        <v>1557</v>
      </c>
    </row>
    <row r="725" spans="1:9">
      <c r="A725" s="78" t="s">
        <v>1084</v>
      </c>
      <c r="B725" s="78" t="s">
        <v>1916</v>
      </c>
      <c r="C725" s="79" t="s">
        <v>1923</v>
      </c>
      <c r="D725" s="79" t="s">
        <v>1924</v>
      </c>
      <c r="E725" s="80">
        <v>0</v>
      </c>
      <c r="F725" s="80">
        <v>267030</v>
      </c>
      <c r="G725" s="78">
        <v>32456056</v>
      </c>
      <c r="H725" s="78" t="s">
        <v>1922</v>
      </c>
      <c r="I725" t="s">
        <v>1557</v>
      </c>
    </row>
    <row r="726" spans="1:9">
      <c r="A726" s="78" t="s">
        <v>1087</v>
      </c>
      <c r="B726" s="78" t="s">
        <v>1916</v>
      </c>
      <c r="C726" s="79" t="s">
        <v>1925</v>
      </c>
      <c r="D726" s="79" t="s">
        <v>1926</v>
      </c>
      <c r="E726" s="80">
        <v>0</v>
      </c>
      <c r="F726" s="80">
        <v>174744</v>
      </c>
      <c r="G726" s="78">
        <v>32723086</v>
      </c>
      <c r="H726" s="78" t="s">
        <v>1922</v>
      </c>
      <c r="I726" t="s">
        <v>1557</v>
      </c>
    </row>
    <row r="727" spans="1:9">
      <c r="A727" s="78" t="s">
        <v>1090</v>
      </c>
      <c r="B727" s="78" t="s">
        <v>1916</v>
      </c>
      <c r="C727" s="79" t="s">
        <v>1927</v>
      </c>
      <c r="D727" s="79" t="s">
        <v>1928</v>
      </c>
      <c r="E727" s="80">
        <v>0</v>
      </c>
      <c r="F727" s="80">
        <v>267030</v>
      </c>
      <c r="G727" s="78">
        <v>32897830</v>
      </c>
      <c r="H727" s="78" t="s">
        <v>1922</v>
      </c>
      <c r="I727" t="s">
        <v>1557</v>
      </c>
    </row>
    <row r="728" spans="1:9">
      <c r="A728" s="78" t="s">
        <v>1093</v>
      </c>
      <c r="B728" s="78" t="s">
        <v>1916</v>
      </c>
      <c r="C728" s="79" t="s">
        <v>1929</v>
      </c>
      <c r="D728" s="79" t="s">
        <v>1559</v>
      </c>
      <c r="E728" s="80">
        <v>0</v>
      </c>
      <c r="F728" s="80">
        <v>63622220</v>
      </c>
      <c r="G728" s="78">
        <v>33164860</v>
      </c>
      <c r="H728" s="78" t="s">
        <v>1922</v>
      </c>
      <c r="I728" t="s">
        <v>1557</v>
      </c>
    </row>
    <row r="729" spans="1:9">
      <c r="A729" s="78" t="s">
        <v>1096</v>
      </c>
      <c r="B729" s="78" t="s">
        <v>1916</v>
      </c>
      <c r="C729" s="79" t="s">
        <v>1930</v>
      </c>
      <c r="D729" s="79" t="s">
        <v>1931</v>
      </c>
      <c r="E729" s="80">
        <v>0</v>
      </c>
      <c r="F729" s="80">
        <v>409591</v>
      </c>
      <c r="G729" s="78">
        <v>96787080</v>
      </c>
      <c r="H729" s="78" t="s">
        <v>1922</v>
      </c>
      <c r="I729" t="s">
        <v>1557</v>
      </c>
    </row>
    <row r="730" spans="1:9">
      <c r="A730" s="78" t="s">
        <v>1099</v>
      </c>
      <c r="B730" s="78" t="s">
        <v>1916</v>
      </c>
      <c r="C730" s="79" t="s">
        <v>1932</v>
      </c>
      <c r="D730" s="79" t="s">
        <v>1933</v>
      </c>
      <c r="E730" s="80">
        <v>0</v>
      </c>
      <c r="F730" s="80">
        <v>267030</v>
      </c>
      <c r="G730" s="78">
        <v>97196671</v>
      </c>
      <c r="H730" s="78" t="s">
        <v>1922</v>
      </c>
      <c r="I730" t="s">
        <v>1557</v>
      </c>
    </row>
    <row r="731" spans="1:9">
      <c r="A731" s="78" t="s">
        <v>1102</v>
      </c>
      <c r="B731" s="78" t="s">
        <v>1916</v>
      </c>
      <c r="C731" s="79" t="s">
        <v>1934</v>
      </c>
      <c r="D731" s="79" t="s">
        <v>1935</v>
      </c>
      <c r="E731" s="80">
        <v>0</v>
      </c>
      <c r="F731" s="80">
        <v>1325449</v>
      </c>
      <c r="G731" s="78">
        <v>97463701</v>
      </c>
      <c r="H731" s="78" t="s">
        <v>1922</v>
      </c>
      <c r="I731" t="s">
        <v>1557</v>
      </c>
    </row>
    <row r="732" spans="1:9">
      <c r="A732" s="78" t="s">
        <v>1105</v>
      </c>
      <c r="B732" s="78" t="s">
        <v>1916</v>
      </c>
      <c r="C732" s="79" t="s">
        <v>1936</v>
      </c>
      <c r="D732" s="79" t="s">
        <v>1937</v>
      </c>
      <c r="E732" s="80">
        <v>0</v>
      </c>
      <c r="F732" s="80">
        <v>449877</v>
      </c>
      <c r="G732" s="78">
        <v>98789150</v>
      </c>
      <c r="H732" s="78" t="s">
        <v>1922</v>
      </c>
      <c r="I732" t="s">
        <v>1557</v>
      </c>
    </row>
    <row r="733" spans="1:9">
      <c r="A733" s="78" t="s">
        <v>1108</v>
      </c>
      <c r="B733" s="78" t="s">
        <v>1916</v>
      </c>
      <c r="C733" s="79" t="s">
        <v>1938</v>
      </c>
      <c r="D733" s="79" t="s">
        <v>1939</v>
      </c>
      <c r="E733" s="80">
        <v>0</v>
      </c>
      <c r="F733" s="80">
        <v>211434</v>
      </c>
      <c r="G733" s="78">
        <v>99239027</v>
      </c>
      <c r="H733" s="78" t="s">
        <v>1940</v>
      </c>
      <c r="I733" t="s">
        <v>1557</v>
      </c>
    </row>
    <row r="734" spans="1:9">
      <c r="A734" s="78" t="s">
        <v>1111</v>
      </c>
      <c r="B734" s="78" t="s">
        <v>1916</v>
      </c>
      <c r="C734" s="79" t="s">
        <v>1941</v>
      </c>
      <c r="D734" s="79" t="s">
        <v>1942</v>
      </c>
      <c r="E734" s="80">
        <v>0</v>
      </c>
      <c r="F734" s="80">
        <v>1714043</v>
      </c>
      <c r="G734" s="78">
        <v>99450461</v>
      </c>
      <c r="H734" s="78" t="s">
        <v>1940</v>
      </c>
      <c r="I734" t="s">
        <v>1557</v>
      </c>
    </row>
    <row r="735" spans="1:9">
      <c r="A735" s="78" t="s">
        <v>1114</v>
      </c>
      <c r="B735" s="78" t="s">
        <v>1916</v>
      </c>
      <c r="C735" s="79" t="s">
        <v>1943</v>
      </c>
      <c r="D735" s="79" t="s">
        <v>1944</v>
      </c>
      <c r="E735" s="80">
        <v>0</v>
      </c>
      <c r="F735" s="80">
        <v>1210780</v>
      </c>
      <c r="G735" s="78">
        <v>101164504</v>
      </c>
      <c r="H735" s="78" t="s">
        <v>1940</v>
      </c>
      <c r="I735" t="s">
        <v>1557</v>
      </c>
    </row>
    <row r="736" spans="1:9">
      <c r="A736" s="78" t="s">
        <v>1117</v>
      </c>
      <c r="B736" s="78" t="s">
        <v>1916</v>
      </c>
      <c r="C736" s="79" t="s">
        <v>1945</v>
      </c>
      <c r="D736" s="79" t="s">
        <v>1946</v>
      </c>
      <c r="E736" s="80">
        <v>0</v>
      </c>
      <c r="F736" s="80">
        <v>201664</v>
      </c>
      <c r="G736" s="78">
        <v>102375284</v>
      </c>
      <c r="H736" s="78" t="s">
        <v>1940</v>
      </c>
      <c r="I736" t="s">
        <v>1557</v>
      </c>
    </row>
    <row r="737" spans="1:9">
      <c r="A737" s="78" t="s">
        <v>1120</v>
      </c>
      <c r="B737" s="78" t="s">
        <v>1916</v>
      </c>
      <c r="C737" s="79" t="s">
        <v>1947</v>
      </c>
      <c r="D737" s="79" t="s">
        <v>1948</v>
      </c>
      <c r="E737" s="80">
        <v>0</v>
      </c>
      <c r="F737" s="80">
        <v>660700</v>
      </c>
      <c r="G737" s="78">
        <v>102576948</v>
      </c>
      <c r="H737" s="78" t="s">
        <v>1940</v>
      </c>
      <c r="I737" t="s">
        <v>1557</v>
      </c>
    </row>
    <row r="738" spans="1:9">
      <c r="A738" s="78" t="s">
        <v>1123</v>
      </c>
      <c r="B738" s="78" t="s">
        <v>1916</v>
      </c>
      <c r="C738" s="79" t="s">
        <v>1949</v>
      </c>
      <c r="D738" s="79" t="s">
        <v>1766</v>
      </c>
      <c r="E738" s="80">
        <v>0</v>
      </c>
      <c r="F738" s="80">
        <v>70641</v>
      </c>
      <c r="G738" s="78">
        <v>103237648</v>
      </c>
      <c r="H738" s="78" t="s">
        <v>1940</v>
      </c>
      <c r="I738" t="s">
        <v>1557</v>
      </c>
    </row>
    <row r="739" spans="1:9">
      <c r="A739" s="78" t="s">
        <v>1126</v>
      </c>
      <c r="B739" s="78" t="s">
        <v>1916</v>
      </c>
      <c r="C739" s="79" t="s">
        <v>1950</v>
      </c>
      <c r="D739" s="79" t="s">
        <v>1951</v>
      </c>
      <c r="E739" s="80">
        <v>0</v>
      </c>
      <c r="F739" s="80">
        <v>164974</v>
      </c>
      <c r="G739" s="78">
        <v>103308289</v>
      </c>
      <c r="H739" s="78" t="s">
        <v>1940</v>
      </c>
      <c r="I739" t="s">
        <v>1557</v>
      </c>
    </row>
    <row r="740" spans="1:9">
      <c r="A740" s="78" t="s">
        <v>1129</v>
      </c>
      <c r="B740" s="78" t="s">
        <v>1916</v>
      </c>
      <c r="C740" s="79" t="s">
        <v>1952</v>
      </c>
      <c r="D740" s="79" t="s">
        <v>1822</v>
      </c>
      <c r="E740" s="80">
        <v>0</v>
      </c>
      <c r="F740" s="80">
        <v>6926102</v>
      </c>
      <c r="G740" s="78">
        <v>103473263</v>
      </c>
      <c r="H740" s="78" t="s">
        <v>1940</v>
      </c>
      <c r="I740" t="s">
        <v>1557</v>
      </c>
    </row>
    <row r="741" spans="1:9">
      <c r="A741" s="78" t="s">
        <v>1132</v>
      </c>
      <c r="B741" s="78" t="s">
        <v>1916</v>
      </c>
      <c r="C741" s="79" t="s">
        <v>1953</v>
      </c>
      <c r="D741" s="79" t="s">
        <v>1793</v>
      </c>
      <c r="E741" s="80">
        <v>0</v>
      </c>
      <c r="F741" s="80">
        <v>65234</v>
      </c>
      <c r="G741" s="78">
        <v>110399365</v>
      </c>
      <c r="H741" s="78" t="s">
        <v>1940</v>
      </c>
      <c r="I741" t="s">
        <v>1557</v>
      </c>
    </row>
    <row r="742" spans="1:9">
      <c r="A742" s="78" t="s">
        <v>1135</v>
      </c>
      <c r="B742" s="78" t="s">
        <v>1916</v>
      </c>
      <c r="C742" s="79" t="s">
        <v>1954</v>
      </c>
      <c r="D742" s="79" t="s">
        <v>1955</v>
      </c>
      <c r="E742" s="80">
        <v>0</v>
      </c>
      <c r="F742" s="80">
        <v>182921</v>
      </c>
      <c r="G742" s="78">
        <v>110464599</v>
      </c>
      <c r="H742" s="78" t="s">
        <v>1940</v>
      </c>
      <c r="I742" t="s">
        <v>1557</v>
      </c>
    </row>
    <row r="743" spans="1:9">
      <c r="A743" s="78" t="s">
        <v>1138</v>
      </c>
      <c r="B743" s="78" t="s">
        <v>1916</v>
      </c>
      <c r="C743" s="79" t="s">
        <v>1956</v>
      </c>
      <c r="D743" s="79" t="s">
        <v>1957</v>
      </c>
      <c r="E743" s="80">
        <v>0</v>
      </c>
      <c r="F743" s="80">
        <v>656558</v>
      </c>
      <c r="G743" s="78">
        <v>110647520</v>
      </c>
      <c r="H743" s="78" t="s">
        <v>1940</v>
      </c>
      <c r="I743" t="s">
        <v>1557</v>
      </c>
    </row>
    <row r="744" spans="1:9">
      <c r="A744" s="78" t="s">
        <v>1141</v>
      </c>
      <c r="B744" s="78" t="s">
        <v>1916</v>
      </c>
      <c r="C744" s="79" t="s">
        <v>1958</v>
      </c>
      <c r="D744" s="79" t="s">
        <v>1959</v>
      </c>
      <c r="E744" s="80">
        <v>0</v>
      </c>
      <c r="F744" s="80">
        <v>273911</v>
      </c>
      <c r="G744" s="78">
        <v>111304078</v>
      </c>
      <c r="H744" s="78" t="s">
        <v>1940</v>
      </c>
      <c r="I744" t="s">
        <v>1557</v>
      </c>
    </row>
    <row r="745" spans="1:9">
      <c r="A745" s="78" t="s">
        <v>1144</v>
      </c>
      <c r="B745" s="78" t="s">
        <v>1916</v>
      </c>
      <c r="C745" s="79" t="s">
        <v>1960</v>
      </c>
      <c r="D745" s="79" t="s">
        <v>1961</v>
      </c>
      <c r="E745" s="80">
        <v>0</v>
      </c>
      <c r="F745" s="80">
        <v>183717</v>
      </c>
      <c r="G745" s="78">
        <v>111577989</v>
      </c>
      <c r="H745" s="78" t="s">
        <v>1940</v>
      </c>
      <c r="I745" t="s">
        <v>1557</v>
      </c>
    </row>
    <row r="746" spans="1:9">
      <c r="A746" s="78" t="s">
        <v>1147</v>
      </c>
      <c r="B746" s="78" t="s">
        <v>1916</v>
      </c>
      <c r="C746" s="79" t="s">
        <v>1962</v>
      </c>
      <c r="D746" s="79" t="s">
        <v>1963</v>
      </c>
      <c r="E746" s="80">
        <v>0</v>
      </c>
      <c r="F746" s="80">
        <v>167191</v>
      </c>
      <c r="G746" s="78">
        <v>111761706</v>
      </c>
      <c r="H746" s="78" t="s">
        <v>1940</v>
      </c>
      <c r="I746" t="s">
        <v>1557</v>
      </c>
    </row>
    <row r="747" spans="1:9">
      <c r="A747" s="78" t="s">
        <v>1150</v>
      </c>
      <c r="B747" s="78" t="s">
        <v>1916</v>
      </c>
      <c r="C747" s="79" t="s">
        <v>1964</v>
      </c>
      <c r="D747" s="79" t="s">
        <v>1965</v>
      </c>
      <c r="E747" s="80">
        <v>0</v>
      </c>
      <c r="F747" s="80">
        <v>632750</v>
      </c>
      <c r="G747" s="78">
        <v>111928897</v>
      </c>
      <c r="H747" s="78" t="s">
        <v>1940</v>
      </c>
      <c r="I747" t="s">
        <v>1557</v>
      </c>
    </row>
    <row r="748" spans="1:9">
      <c r="A748" s="78" t="s">
        <v>1153</v>
      </c>
      <c r="B748" s="78" t="s">
        <v>1916</v>
      </c>
      <c r="C748" s="79" t="s">
        <v>1966</v>
      </c>
      <c r="D748" s="79" t="s">
        <v>1967</v>
      </c>
      <c r="E748" s="80">
        <v>0</v>
      </c>
      <c r="F748" s="80">
        <v>408082</v>
      </c>
      <c r="G748" s="78">
        <v>112561647</v>
      </c>
      <c r="H748" s="78" t="s">
        <v>1940</v>
      </c>
      <c r="I748" t="s">
        <v>1557</v>
      </c>
    </row>
    <row r="749" spans="1:9">
      <c r="A749" s="78" t="s">
        <v>1156</v>
      </c>
      <c r="B749" s="78" t="s">
        <v>1916</v>
      </c>
      <c r="C749" s="79" t="s">
        <v>1968</v>
      </c>
      <c r="D749" s="79" t="s">
        <v>1969</v>
      </c>
      <c r="E749" s="80">
        <v>0</v>
      </c>
      <c r="F749" s="80">
        <v>260884</v>
      </c>
      <c r="G749" s="78">
        <v>112969729</v>
      </c>
      <c r="H749" s="78" t="s">
        <v>1940</v>
      </c>
      <c r="I749" t="s">
        <v>1557</v>
      </c>
    </row>
    <row r="750" spans="1:9">
      <c r="A750" s="78" t="s">
        <v>1159</v>
      </c>
      <c r="B750" s="78" t="s">
        <v>1916</v>
      </c>
      <c r="C750" s="79" t="s">
        <v>1970</v>
      </c>
      <c r="D750" s="79" t="s">
        <v>1971</v>
      </c>
      <c r="E750" s="80">
        <v>0</v>
      </c>
      <c r="F750" s="80">
        <v>308942</v>
      </c>
      <c r="G750" s="78">
        <v>113230613</v>
      </c>
      <c r="H750" s="78" t="s">
        <v>1940</v>
      </c>
      <c r="I750" t="s">
        <v>1557</v>
      </c>
    </row>
    <row r="751" spans="1:9">
      <c r="A751" s="78" t="s">
        <v>1162</v>
      </c>
      <c r="B751" s="78" t="s">
        <v>1916</v>
      </c>
      <c r="C751" s="79" t="s">
        <v>1972</v>
      </c>
      <c r="D751" s="79" t="s">
        <v>1973</v>
      </c>
      <c r="E751" s="80">
        <v>0</v>
      </c>
      <c r="F751" s="80">
        <v>224554</v>
      </c>
      <c r="G751" s="78">
        <v>113539555</v>
      </c>
      <c r="H751" s="78" t="s">
        <v>1940</v>
      </c>
      <c r="I751" t="s">
        <v>1557</v>
      </c>
    </row>
    <row r="752" spans="1:9">
      <c r="A752" s="78" t="s">
        <v>1165</v>
      </c>
      <c r="B752" s="78" t="s">
        <v>1916</v>
      </c>
      <c r="C752" s="79" t="s">
        <v>1974</v>
      </c>
      <c r="D752" s="79" t="s">
        <v>1975</v>
      </c>
      <c r="E752" s="80">
        <v>0</v>
      </c>
      <c r="F752" s="80">
        <v>410612</v>
      </c>
      <c r="G752" s="78">
        <v>113764109</v>
      </c>
      <c r="H752" s="78" t="s">
        <v>1940</v>
      </c>
      <c r="I752" t="s">
        <v>1557</v>
      </c>
    </row>
    <row r="753" spans="1:9">
      <c r="A753" s="78" t="s">
        <v>1168</v>
      </c>
      <c r="B753" s="78" t="s">
        <v>1916</v>
      </c>
      <c r="C753" s="79" t="s">
        <v>1976</v>
      </c>
      <c r="D753" s="79" t="s">
        <v>1977</v>
      </c>
      <c r="E753" s="80">
        <v>0</v>
      </c>
      <c r="F753" s="80">
        <v>487968</v>
      </c>
      <c r="G753" s="78">
        <v>114174721</v>
      </c>
      <c r="H753" s="78" t="s">
        <v>1940</v>
      </c>
      <c r="I753" t="s">
        <v>1557</v>
      </c>
    </row>
    <row r="754" spans="1:9">
      <c r="A754" s="78" t="s">
        <v>1171</v>
      </c>
      <c r="B754" s="78" t="s">
        <v>1916</v>
      </c>
      <c r="C754" s="79" t="s">
        <v>1978</v>
      </c>
      <c r="D754" s="79" t="s">
        <v>1979</v>
      </c>
      <c r="E754" s="80">
        <v>0</v>
      </c>
      <c r="F754" s="80">
        <v>150298</v>
      </c>
      <c r="G754" s="78">
        <v>114662689</v>
      </c>
      <c r="H754" s="78" t="s">
        <v>1940</v>
      </c>
      <c r="I754" t="s">
        <v>1557</v>
      </c>
    </row>
    <row r="755" spans="1:9">
      <c r="A755" s="78" t="s">
        <v>1174</v>
      </c>
      <c r="B755" s="78" t="s">
        <v>1916</v>
      </c>
      <c r="C755" s="79" t="s">
        <v>1980</v>
      </c>
      <c r="D755" s="79" t="s">
        <v>1981</v>
      </c>
      <c r="E755" s="80">
        <v>0</v>
      </c>
      <c r="F755" s="80">
        <v>1031149</v>
      </c>
      <c r="G755" s="78">
        <v>114812987</v>
      </c>
      <c r="H755" s="78" t="s">
        <v>1940</v>
      </c>
      <c r="I755" t="s">
        <v>1557</v>
      </c>
    </row>
    <row r="756" spans="1:9">
      <c r="A756" s="78" t="s">
        <v>1177</v>
      </c>
      <c r="B756" s="78" t="s">
        <v>1916</v>
      </c>
      <c r="C756" s="79" t="s">
        <v>1982</v>
      </c>
      <c r="D756" s="79" t="s">
        <v>1983</v>
      </c>
      <c r="E756" s="80">
        <v>0</v>
      </c>
      <c r="F756" s="80">
        <v>1006355</v>
      </c>
      <c r="G756" s="78">
        <v>115844136</v>
      </c>
      <c r="H756" s="78" t="s">
        <v>1940</v>
      </c>
      <c r="I756" t="s">
        <v>1557</v>
      </c>
    </row>
    <row r="757" spans="1:9">
      <c r="A757" s="78" t="s">
        <v>1180</v>
      </c>
      <c r="B757" s="78" t="s">
        <v>1916</v>
      </c>
      <c r="C757" s="79" t="s">
        <v>1984</v>
      </c>
      <c r="D757" s="79" t="s">
        <v>1985</v>
      </c>
      <c r="E757" s="80">
        <v>0</v>
      </c>
      <c r="F757" s="80">
        <v>267187</v>
      </c>
      <c r="G757" s="78">
        <v>116850491</v>
      </c>
      <c r="H757" s="78" t="s">
        <v>1940</v>
      </c>
      <c r="I757" t="s">
        <v>1557</v>
      </c>
    </row>
    <row r="758" spans="1:9">
      <c r="A758" s="78" t="s">
        <v>1183</v>
      </c>
      <c r="B758" s="78" t="s">
        <v>1916</v>
      </c>
      <c r="C758" s="79" t="s">
        <v>1986</v>
      </c>
      <c r="D758" s="79" t="s">
        <v>1987</v>
      </c>
      <c r="E758" s="80">
        <v>0</v>
      </c>
      <c r="F758" s="80">
        <v>182921</v>
      </c>
      <c r="G758" s="78">
        <v>117117678</v>
      </c>
      <c r="H758" s="78" t="s">
        <v>1940</v>
      </c>
      <c r="I758" t="s">
        <v>1557</v>
      </c>
    </row>
    <row r="759" spans="1:9">
      <c r="A759" s="78" t="s">
        <v>1186</v>
      </c>
      <c r="B759" s="78" t="s">
        <v>1916</v>
      </c>
      <c r="C759" s="79" t="s">
        <v>1988</v>
      </c>
      <c r="D759" s="79" t="s">
        <v>1989</v>
      </c>
      <c r="E759" s="80">
        <v>0</v>
      </c>
      <c r="F759" s="80">
        <v>607178</v>
      </c>
      <c r="G759" s="78">
        <v>117300599</v>
      </c>
      <c r="H759" s="78" t="s">
        <v>1940</v>
      </c>
      <c r="I759" t="s">
        <v>1557</v>
      </c>
    </row>
    <row r="760" spans="1:9">
      <c r="A760" s="78" t="s">
        <v>1189</v>
      </c>
      <c r="B760" s="78" t="s">
        <v>1916</v>
      </c>
      <c r="C760" s="79" t="s">
        <v>1990</v>
      </c>
      <c r="D760" s="79" t="s">
        <v>1991</v>
      </c>
      <c r="E760" s="80">
        <v>0</v>
      </c>
      <c r="F760" s="80">
        <v>510025</v>
      </c>
      <c r="G760" s="78">
        <v>117907777</v>
      </c>
      <c r="H760" s="78" t="s">
        <v>1940</v>
      </c>
      <c r="I760" t="s">
        <v>1557</v>
      </c>
    </row>
    <row r="761" spans="1:9">
      <c r="A761" s="78" t="s">
        <v>1192</v>
      </c>
      <c r="B761" s="78" t="s">
        <v>1916</v>
      </c>
      <c r="C761" s="79" t="s">
        <v>1992</v>
      </c>
      <c r="D761" s="79" t="s">
        <v>1993</v>
      </c>
      <c r="E761" s="80">
        <v>0</v>
      </c>
      <c r="F761" s="80">
        <v>148655</v>
      </c>
      <c r="G761" s="78">
        <v>118417802</v>
      </c>
      <c r="H761" s="78" t="s">
        <v>1940</v>
      </c>
      <c r="I761" t="s">
        <v>1557</v>
      </c>
    </row>
    <row r="762" spans="1:9">
      <c r="A762" s="78" t="s">
        <v>1195</v>
      </c>
      <c r="B762" s="78" t="s">
        <v>1916</v>
      </c>
      <c r="C762" s="79" t="s">
        <v>1994</v>
      </c>
      <c r="D762" s="79" t="s">
        <v>1995</v>
      </c>
      <c r="E762" s="80">
        <v>0</v>
      </c>
      <c r="F762" s="80">
        <v>206274</v>
      </c>
      <c r="G762" s="78">
        <v>118566457</v>
      </c>
      <c r="H762" s="78" t="s">
        <v>1940</v>
      </c>
      <c r="I762" t="s">
        <v>1557</v>
      </c>
    </row>
    <row r="763" spans="1:9">
      <c r="A763" s="78" t="s">
        <v>1198</v>
      </c>
      <c r="B763" s="78" t="s">
        <v>1916</v>
      </c>
      <c r="C763" s="79" t="s">
        <v>1996</v>
      </c>
      <c r="D763" s="79" t="s">
        <v>1836</v>
      </c>
      <c r="E763" s="80">
        <v>0</v>
      </c>
      <c r="F763" s="80">
        <v>5182157</v>
      </c>
      <c r="G763" s="78">
        <v>118772731</v>
      </c>
      <c r="H763" s="78" t="s">
        <v>1940</v>
      </c>
      <c r="I763" t="s">
        <v>1557</v>
      </c>
    </row>
    <row r="764" spans="1:9">
      <c r="A764" s="78" t="s">
        <v>1201</v>
      </c>
      <c r="B764" s="78" t="s">
        <v>1916</v>
      </c>
      <c r="C764" s="79" t="s">
        <v>1997</v>
      </c>
      <c r="D764" s="79" t="s">
        <v>1998</v>
      </c>
      <c r="E764" s="80">
        <v>0</v>
      </c>
      <c r="F764" s="80">
        <v>206274</v>
      </c>
      <c r="G764" s="78">
        <v>123954888</v>
      </c>
      <c r="H764" s="78" t="s">
        <v>1940</v>
      </c>
      <c r="I764" t="s">
        <v>1557</v>
      </c>
    </row>
    <row r="765" spans="1:9">
      <c r="A765" s="78" t="s">
        <v>1204</v>
      </c>
      <c r="B765" s="78" t="s">
        <v>1916</v>
      </c>
      <c r="C765" s="79" t="s">
        <v>1999</v>
      </c>
      <c r="D765" s="79" t="s">
        <v>2000</v>
      </c>
      <c r="E765" s="80">
        <v>0</v>
      </c>
      <c r="F765" s="80">
        <v>206274</v>
      </c>
      <c r="G765" s="78">
        <v>124161162</v>
      </c>
      <c r="H765" s="78" t="s">
        <v>1940</v>
      </c>
      <c r="I765" t="s">
        <v>1557</v>
      </c>
    </row>
    <row r="766" spans="1:9">
      <c r="A766" s="78" t="s">
        <v>1207</v>
      </c>
      <c r="B766" s="78" t="s">
        <v>1916</v>
      </c>
      <c r="C766" s="79" t="s">
        <v>2001</v>
      </c>
      <c r="D766" s="79" t="s">
        <v>2002</v>
      </c>
      <c r="E766" s="80">
        <v>0</v>
      </c>
      <c r="F766" s="80">
        <v>260884</v>
      </c>
      <c r="G766" s="78">
        <v>124367436</v>
      </c>
      <c r="H766" s="78" t="s">
        <v>1940</v>
      </c>
      <c r="I766" t="s">
        <v>1557</v>
      </c>
    </row>
    <row r="767" spans="1:9">
      <c r="A767" s="78" t="s">
        <v>1210</v>
      </c>
      <c r="B767" s="78" t="s">
        <v>1916</v>
      </c>
      <c r="C767" s="79" t="s">
        <v>2003</v>
      </c>
      <c r="D767" s="79" t="s">
        <v>2004</v>
      </c>
      <c r="E767" s="80">
        <v>0</v>
      </c>
      <c r="F767" s="80">
        <v>8895675</v>
      </c>
      <c r="G767" s="78">
        <v>124628320</v>
      </c>
      <c r="H767" s="78" t="s">
        <v>1940</v>
      </c>
      <c r="I767" t="s">
        <v>1557</v>
      </c>
    </row>
    <row r="768" spans="1:9">
      <c r="A768" s="78" t="s">
        <v>1213</v>
      </c>
      <c r="B768" s="78" t="s">
        <v>1916</v>
      </c>
      <c r="C768" s="79" t="s">
        <v>2005</v>
      </c>
      <c r="D768" s="79" t="s">
        <v>2006</v>
      </c>
      <c r="E768" s="80">
        <v>0</v>
      </c>
      <c r="F768" s="80">
        <v>206274</v>
      </c>
      <c r="G768" s="78">
        <v>133523995</v>
      </c>
      <c r="H768" s="78" t="s">
        <v>1940</v>
      </c>
      <c r="I768" t="s">
        <v>1557</v>
      </c>
    </row>
    <row r="769" spans="1:9">
      <c r="A769" s="78" t="s">
        <v>1216</v>
      </c>
      <c r="B769" s="78" t="s">
        <v>1916</v>
      </c>
      <c r="C769" s="79" t="s">
        <v>2007</v>
      </c>
      <c r="D769" s="79" t="s">
        <v>1818</v>
      </c>
      <c r="E769" s="80">
        <v>0</v>
      </c>
      <c r="F769" s="80">
        <v>5172369</v>
      </c>
      <c r="G769" s="78">
        <v>133730269</v>
      </c>
      <c r="H769" s="78" t="s">
        <v>1940</v>
      </c>
      <c r="I769" t="s">
        <v>1557</v>
      </c>
    </row>
    <row r="770" spans="1:9">
      <c r="A770" s="78" t="s">
        <v>1219</v>
      </c>
      <c r="B770" s="78" t="s">
        <v>1916</v>
      </c>
      <c r="C770" s="79" t="s">
        <v>2008</v>
      </c>
      <c r="D770" s="79" t="s">
        <v>2009</v>
      </c>
      <c r="E770" s="80">
        <v>0</v>
      </c>
      <c r="F770" s="80">
        <v>206274</v>
      </c>
      <c r="G770" s="78">
        <v>138902638</v>
      </c>
      <c r="H770" s="78" t="s">
        <v>1940</v>
      </c>
      <c r="I770" t="s">
        <v>1557</v>
      </c>
    </row>
    <row r="771" spans="1:9">
      <c r="A771" s="78" t="s">
        <v>2010</v>
      </c>
      <c r="B771" s="78" t="s">
        <v>1916</v>
      </c>
      <c r="C771" s="79" t="s">
        <v>2011</v>
      </c>
      <c r="D771" s="79" t="s">
        <v>2012</v>
      </c>
      <c r="E771" s="80">
        <v>0</v>
      </c>
      <c r="F771" s="80">
        <v>320067</v>
      </c>
      <c r="G771" s="78">
        <v>139108912</v>
      </c>
      <c r="H771" s="78" t="s">
        <v>1940</v>
      </c>
      <c r="I771" t="s">
        <v>1557</v>
      </c>
    </row>
    <row r="772" spans="1:9">
      <c r="A772" s="78" t="s">
        <v>2013</v>
      </c>
      <c r="B772" s="78" t="s">
        <v>1916</v>
      </c>
      <c r="C772" s="79" t="s">
        <v>2014</v>
      </c>
      <c r="D772" s="79" t="s">
        <v>2015</v>
      </c>
      <c r="E772" s="80">
        <v>0</v>
      </c>
      <c r="F772" s="80">
        <v>1460553</v>
      </c>
      <c r="G772" s="78">
        <v>139428979</v>
      </c>
      <c r="H772" s="78" t="s">
        <v>2016</v>
      </c>
      <c r="I772" t="s">
        <v>1557</v>
      </c>
    </row>
    <row r="773" spans="1:9">
      <c r="A773" s="78" t="s">
        <v>2017</v>
      </c>
      <c r="B773" s="78" t="s">
        <v>1916</v>
      </c>
      <c r="C773" s="79" t="s">
        <v>2018</v>
      </c>
      <c r="D773" s="79" t="s">
        <v>2019</v>
      </c>
      <c r="E773" s="80">
        <v>0</v>
      </c>
      <c r="F773" s="80">
        <v>216061</v>
      </c>
      <c r="G773" s="78">
        <v>140889532</v>
      </c>
      <c r="H773" s="78" t="s">
        <v>2016</v>
      </c>
      <c r="I773" t="s">
        <v>1557</v>
      </c>
    </row>
    <row r="774" spans="1:9">
      <c r="A774" s="78" t="s">
        <v>2020</v>
      </c>
      <c r="B774" s="78" t="s">
        <v>1916</v>
      </c>
      <c r="C774" s="79" t="s">
        <v>2021</v>
      </c>
      <c r="D774" s="79" t="s">
        <v>2022</v>
      </c>
      <c r="E774" s="80">
        <v>0</v>
      </c>
      <c r="F774" s="80">
        <v>224991</v>
      </c>
      <c r="G774" s="78">
        <v>141105593</v>
      </c>
      <c r="H774" s="78" t="s">
        <v>2016</v>
      </c>
      <c r="I774" t="s">
        <v>1557</v>
      </c>
    </row>
    <row r="775" spans="1:9">
      <c r="A775" s="78" t="s">
        <v>2023</v>
      </c>
      <c r="B775" s="78" t="s">
        <v>1916</v>
      </c>
      <c r="C775" s="79" t="s">
        <v>2024</v>
      </c>
      <c r="D775" s="79" t="s">
        <v>2025</v>
      </c>
      <c r="E775" s="80">
        <v>0</v>
      </c>
      <c r="F775" s="80">
        <v>261702</v>
      </c>
      <c r="G775" s="78">
        <v>141330584</v>
      </c>
      <c r="H775" s="78" t="s">
        <v>2016</v>
      </c>
      <c r="I775" t="s">
        <v>1557</v>
      </c>
    </row>
    <row r="776" spans="1:9">
      <c r="A776" s="78" t="s">
        <v>2026</v>
      </c>
      <c r="B776" s="78" t="s">
        <v>1916</v>
      </c>
      <c r="C776" s="79" t="s">
        <v>2027</v>
      </c>
      <c r="D776" s="79" t="s">
        <v>2028</v>
      </c>
      <c r="E776" s="80">
        <v>0</v>
      </c>
      <c r="F776" s="80">
        <v>830442</v>
      </c>
      <c r="G776" s="78">
        <v>141592286</v>
      </c>
      <c r="H776" s="78" t="s">
        <v>2016</v>
      </c>
      <c r="I776" t="s">
        <v>1557</v>
      </c>
    </row>
    <row r="777" spans="1:9">
      <c r="A777" s="78" t="s">
        <v>2029</v>
      </c>
      <c r="B777" s="78" t="s">
        <v>1916</v>
      </c>
      <c r="C777" s="79" t="s">
        <v>2030</v>
      </c>
      <c r="D777" s="79" t="s">
        <v>2031</v>
      </c>
      <c r="E777" s="80">
        <v>0</v>
      </c>
      <c r="F777" s="80">
        <v>206274</v>
      </c>
      <c r="G777" s="78">
        <v>142422728</v>
      </c>
      <c r="H777" s="78" t="s">
        <v>2016</v>
      </c>
      <c r="I777" t="s">
        <v>1557</v>
      </c>
    </row>
    <row r="778" spans="1:9">
      <c r="A778" s="78" t="s">
        <v>2032</v>
      </c>
      <c r="B778" s="78" t="s">
        <v>1916</v>
      </c>
      <c r="C778" s="79" t="s">
        <v>2033</v>
      </c>
      <c r="D778" s="79" t="s">
        <v>2034</v>
      </c>
      <c r="E778" s="80">
        <v>0</v>
      </c>
      <c r="F778" s="80">
        <v>229356</v>
      </c>
      <c r="G778" s="78">
        <v>142629002</v>
      </c>
      <c r="H778" s="78" t="s">
        <v>2016</v>
      </c>
      <c r="I778" t="s">
        <v>1557</v>
      </c>
    </row>
    <row r="779" spans="1:9">
      <c r="A779" s="78" t="s">
        <v>2035</v>
      </c>
      <c r="B779" s="78" t="s">
        <v>1916</v>
      </c>
      <c r="C779" s="79" t="s">
        <v>2036</v>
      </c>
      <c r="D779" s="79" t="s">
        <v>2037</v>
      </c>
      <c r="E779" s="80">
        <v>0</v>
      </c>
      <c r="F779" s="80">
        <v>764715</v>
      </c>
      <c r="G779" s="78">
        <v>142858358</v>
      </c>
      <c r="H779" s="78" t="s">
        <v>2016</v>
      </c>
      <c r="I779" t="s">
        <v>1557</v>
      </c>
    </row>
    <row r="780" spans="1:9">
      <c r="A780" s="78" t="s">
        <v>2038</v>
      </c>
      <c r="B780" s="78" t="s">
        <v>1916</v>
      </c>
      <c r="C780" s="79" t="s">
        <v>2039</v>
      </c>
      <c r="D780" s="79" t="s">
        <v>2040</v>
      </c>
      <c r="E780" s="80">
        <v>0</v>
      </c>
      <c r="F780" s="80">
        <v>2703155</v>
      </c>
      <c r="G780" s="78">
        <v>143623073</v>
      </c>
      <c r="H780" s="78" t="s">
        <v>2016</v>
      </c>
      <c r="I780" t="s">
        <v>1557</v>
      </c>
    </row>
    <row r="781" spans="1:9">
      <c r="A781" s="78" t="s">
        <v>2041</v>
      </c>
      <c r="B781" s="78" t="s">
        <v>1916</v>
      </c>
      <c r="C781" s="79" t="s">
        <v>2042</v>
      </c>
      <c r="D781" s="79" t="s">
        <v>2043</v>
      </c>
      <c r="E781" s="80">
        <v>0</v>
      </c>
      <c r="F781" s="80">
        <v>536460</v>
      </c>
      <c r="G781" s="78">
        <v>146326228</v>
      </c>
      <c r="H781" s="78" t="s">
        <v>2016</v>
      </c>
      <c r="I781" t="s">
        <v>1557</v>
      </c>
    </row>
    <row r="782" spans="1:9">
      <c r="A782" s="78" t="s">
        <v>2044</v>
      </c>
      <c r="B782" s="78" t="s">
        <v>1916</v>
      </c>
      <c r="C782" s="79" t="s">
        <v>2045</v>
      </c>
      <c r="D782" s="79" t="s">
        <v>2046</v>
      </c>
      <c r="E782" s="80">
        <v>0</v>
      </c>
      <c r="F782" s="80">
        <v>898489</v>
      </c>
      <c r="G782" s="78">
        <v>146862688</v>
      </c>
      <c r="H782" s="78" t="s">
        <v>2016</v>
      </c>
      <c r="I782" t="s">
        <v>1557</v>
      </c>
    </row>
    <row r="783" spans="1:9">
      <c r="A783" s="78" t="s">
        <v>2047</v>
      </c>
      <c r="B783" s="78" t="s">
        <v>1916</v>
      </c>
      <c r="C783" s="79" t="s">
        <v>2048</v>
      </c>
      <c r="D783" s="79" t="s">
        <v>2049</v>
      </c>
      <c r="E783" s="80">
        <v>0</v>
      </c>
      <c r="F783" s="80">
        <v>1893759</v>
      </c>
      <c r="G783" s="78">
        <v>147761177</v>
      </c>
      <c r="H783" s="78" t="s">
        <v>2016</v>
      </c>
      <c r="I783" t="s">
        <v>1557</v>
      </c>
    </row>
    <row r="784" spans="1:9">
      <c r="A784" s="78" t="s">
        <v>2050</v>
      </c>
      <c r="B784" s="78" t="s">
        <v>1916</v>
      </c>
      <c r="C784" s="79" t="s">
        <v>2051</v>
      </c>
      <c r="D784" s="79" t="s">
        <v>1744</v>
      </c>
      <c r="E784" s="80">
        <v>0</v>
      </c>
      <c r="F784" s="80">
        <v>10895284</v>
      </c>
      <c r="G784" s="78">
        <v>149654936</v>
      </c>
      <c r="H784" s="78" t="s">
        <v>2016</v>
      </c>
      <c r="I784" t="s">
        <v>1557</v>
      </c>
    </row>
    <row r="785" spans="1:9">
      <c r="A785" s="78" t="s">
        <v>2052</v>
      </c>
      <c r="B785" s="78" t="s">
        <v>1916</v>
      </c>
      <c r="C785" s="79" t="s">
        <v>2053</v>
      </c>
      <c r="D785" s="79" t="s">
        <v>1824</v>
      </c>
      <c r="E785" s="80">
        <v>0</v>
      </c>
      <c r="F785" s="80">
        <v>5139266</v>
      </c>
      <c r="G785" s="78">
        <v>160550220</v>
      </c>
      <c r="H785" s="78" t="s">
        <v>2016</v>
      </c>
      <c r="I785" t="s">
        <v>1557</v>
      </c>
    </row>
    <row r="786" spans="1:9">
      <c r="A786" s="78" t="s">
        <v>2054</v>
      </c>
      <c r="B786" s="78" t="s">
        <v>1916</v>
      </c>
      <c r="C786" s="79" t="s">
        <v>2055</v>
      </c>
      <c r="D786" s="79" t="s">
        <v>2056</v>
      </c>
      <c r="E786" s="80">
        <v>0</v>
      </c>
      <c r="F786" s="80">
        <v>205989</v>
      </c>
      <c r="G786" s="78">
        <v>165689486</v>
      </c>
      <c r="H786" s="78" t="s">
        <v>2016</v>
      </c>
      <c r="I786" t="s">
        <v>1557</v>
      </c>
    </row>
    <row r="787" spans="1:9">
      <c r="A787" s="78" t="s">
        <v>2057</v>
      </c>
      <c r="B787" s="78" t="s">
        <v>1916</v>
      </c>
      <c r="C787" s="79" t="s">
        <v>2058</v>
      </c>
      <c r="D787" s="79" t="s">
        <v>1798</v>
      </c>
      <c r="E787" s="80">
        <v>0</v>
      </c>
      <c r="F787" s="80">
        <v>13893443</v>
      </c>
      <c r="G787" s="78">
        <v>165895475</v>
      </c>
      <c r="H787" s="78" t="s">
        <v>2016</v>
      </c>
      <c r="I787" t="s">
        <v>1557</v>
      </c>
    </row>
    <row r="788" spans="1:9">
      <c r="A788" s="78" t="s">
        <v>2059</v>
      </c>
      <c r="B788" s="78" t="s">
        <v>1916</v>
      </c>
      <c r="C788" s="79" t="s">
        <v>2060</v>
      </c>
      <c r="D788" s="79" t="s">
        <v>2061</v>
      </c>
      <c r="E788" s="80">
        <v>0</v>
      </c>
      <c r="F788" s="80">
        <v>2650912</v>
      </c>
      <c r="G788" s="78">
        <v>179788918</v>
      </c>
      <c r="H788" s="78" t="s">
        <v>2016</v>
      </c>
      <c r="I788" t="s">
        <v>1557</v>
      </c>
    </row>
    <row r="789" spans="1:9">
      <c r="A789" s="78" t="s">
        <v>2062</v>
      </c>
      <c r="B789" s="78" t="s">
        <v>1916</v>
      </c>
      <c r="C789" s="79" t="s">
        <v>2063</v>
      </c>
      <c r="D789" s="79" t="s">
        <v>2064</v>
      </c>
      <c r="E789" s="80">
        <v>0</v>
      </c>
      <c r="F789" s="80">
        <v>12871351</v>
      </c>
      <c r="G789" s="78">
        <v>182439830</v>
      </c>
      <c r="H789" s="78" t="s">
        <v>2016</v>
      </c>
      <c r="I789" t="s">
        <v>1557</v>
      </c>
    </row>
    <row r="790" spans="1:9">
      <c r="A790" s="78" t="s">
        <v>2065</v>
      </c>
      <c r="B790" s="78" t="s">
        <v>1916</v>
      </c>
      <c r="C790" s="79" t="s">
        <v>2066</v>
      </c>
      <c r="D790" s="79" t="s">
        <v>2067</v>
      </c>
      <c r="E790" s="80">
        <v>0</v>
      </c>
      <c r="F790" s="80">
        <v>535789</v>
      </c>
      <c r="G790" s="78">
        <v>195311181</v>
      </c>
      <c r="H790" s="78" t="s">
        <v>2016</v>
      </c>
      <c r="I790" t="s">
        <v>1557</v>
      </c>
    </row>
    <row r="791" spans="1:9">
      <c r="A791" s="78" t="s">
        <v>2068</v>
      </c>
      <c r="B791" s="78" t="s">
        <v>1916</v>
      </c>
      <c r="C791" s="79" t="s">
        <v>2069</v>
      </c>
      <c r="D791" s="79" t="s">
        <v>2070</v>
      </c>
      <c r="E791" s="80">
        <v>0</v>
      </c>
      <c r="F791" s="80">
        <v>216061</v>
      </c>
      <c r="G791" s="78">
        <v>195846970</v>
      </c>
      <c r="H791" s="78" t="s">
        <v>2016</v>
      </c>
      <c r="I791" t="s">
        <v>1557</v>
      </c>
    </row>
    <row r="792" spans="1:9">
      <c r="A792" s="78" t="s">
        <v>2071</v>
      </c>
      <c r="B792" s="78" t="s">
        <v>1916</v>
      </c>
      <c r="C792" s="79" t="s">
        <v>2072</v>
      </c>
      <c r="D792" s="79" t="s">
        <v>2073</v>
      </c>
      <c r="E792" s="80">
        <v>0</v>
      </c>
      <c r="F792" s="80">
        <v>7508402</v>
      </c>
      <c r="G792" s="78">
        <v>196063031</v>
      </c>
      <c r="H792" s="78" t="s">
        <v>2016</v>
      </c>
      <c r="I792" t="s">
        <v>1557</v>
      </c>
    </row>
    <row r="793" spans="1:9">
      <c r="A793" s="78" t="s">
        <v>2074</v>
      </c>
      <c r="B793" s="78" t="s">
        <v>1916</v>
      </c>
      <c r="C793" s="79" t="s">
        <v>2075</v>
      </c>
      <c r="D793" s="79" t="s">
        <v>2076</v>
      </c>
      <c r="E793" s="80">
        <v>0</v>
      </c>
      <c r="F793" s="80">
        <v>10905093</v>
      </c>
      <c r="G793" s="78">
        <v>203571433</v>
      </c>
      <c r="H793" s="78" t="s">
        <v>2016</v>
      </c>
      <c r="I793" t="s">
        <v>1557</v>
      </c>
    </row>
    <row r="794" spans="1:9">
      <c r="A794" s="78" t="s">
        <v>2077</v>
      </c>
      <c r="B794" s="78" t="s">
        <v>1916</v>
      </c>
      <c r="C794" s="79" t="s">
        <v>2078</v>
      </c>
      <c r="D794" s="79" t="s">
        <v>2079</v>
      </c>
      <c r="E794" s="80">
        <v>0</v>
      </c>
      <c r="F794" s="80">
        <v>408082</v>
      </c>
      <c r="G794" s="78">
        <v>214476526</v>
      </c>
      <c r="H794" s="78" t="s">
        <v>2016</v>
      </c>
      <c r="I794" t="s">
        <v>1557</v>
      </c>
    </row>
    <row r="795" spans="1:9">
      <c r="A795" s="78" t="s">
        <v>2080</v>
      </c>
      <c r="B795" s="78" t="s">
        <v>1916</v>
      </c>
      <c r="C795" s="79" t="s">
        <v>2081</v>
      </c>
      <c r="D795" s="79" t="s">
        <v>1839</v>
      </c>
      <c r="E795" s="80">
        <v>0</v>
      </c>
      <c r="F795" s="80">
        <v>5500030</v>
      </c>
      <c r="G795" s="78">
        <v>214884608</v>
      </c>
      <c r="H795" s="78" t="s">
        <v>2016</v>
      </c>
      <c r="I795" t="s">
        <v>1557</v>
      </c>
    </row>
    <row r="796" spans="1:9">
      <c r="A796" s="78" t="s">
        <v>2082</v>
      </c>
      <c r="B796" s="78" t="s">
        <v>1916</v>
      </c>
      <c r="C796" s="79" t="s">
        <v>2083</v>
      </c>
      <c r="D796" s="79" t="s">
        <v>2084</v>
      </c>
      <c r="E796" s="80">
        <v>0</v>
      </c>
      <c r="F796" s="80">
        <v>483096</v>
      </c>
      <c r="G796" s="78">
        <v>220384638</v>
      </c>
      <c r="H796" s="78" t="s">
        <v>2016</v>
      </c>
      <c r="I796" t="s">
        <v>1557</v>
      </c>
    </row>
    <row r="797" spans="1:9">
      <c r="A797" s="78" t="s">
        <v>2085</v>
      </c>
      <c r="B797" s="78" t="s">
        <v>1916</v>
      </c>
      <c r="C797" s="79" t="s">
        <v>2086</v>
      </c>
      <c r="D797" s="79" t="s">
        <v>2087</v>
      </c>
      <c r="E797" s="80">
        <v>0</v>
      </c>
      <c r="F797" s="80">
        <v>206274</v>
      </c>
      <c r="G797" s="78">
        <v>220867734</v>
      </c>
      <c r="H797" s="78" t="s">
        <v>2016</v>
      </c>
      <c r="I797" t="s">
        <v>1557</v>
      </c>
    </row>
    <row r="798" spans="1:9">
      <c r="A798" s="78" t="s">
        <v>2088</v>
      </c>
      <c r="B798" s="78" t="s">
        <v>1916</v>
      </c>
      <c r="C798" s="79" t="s">
        <v>2089</v>
      </c>
      <c r="D798" s="79" t="s">
        <v>2090</v>
      </c>
      <c r="E798" s="80">
        <v>0</v>
      </c>
      <c r="F798" s="80">
        <v>190206</v>
      </c>
      <c r="G798" s="78">
        <v>221074008</v>
      </c>
      <c r="H798" s="78" t="s">
        <v>2016</v>
      </c>
      <c r="I798" t="s">
        <v>1557</v>
      </c>
    </row>
    <row r="799" spans="1:9">
      <c r="A799" s="78" t="s">
        <v>2091</v>
      </c>
      <c r="B799" s="78" t="s">
        <v>1916</v>
      </c>
      <c r="C799" s="79" t="s">
        <v>2092</v>
      </c>
      <c r="D799" s="79" t="s">
        <v>2093</v>
      </c>
      <c r="E799" s="80">
        <v>0</v>
      </c>
      <c r="F799" s="80">
        <v>202461</v>
      </c>
      <c r="G799" s="78">
        <v>221264214</v>
      </c>
      <c r="H799" s="78" t="s">
        <v>2016</v>
      </c>
      <c r="I799" t="s">
        <v>1557</v>
      </c>
    </row>
    <row r="800" spans="1:9">
      <c r="A800" s="78" t="s">
        <v>2094</v>
      </c>
      <c r="B800" s="78" t="s">
        <v>1916</v>
      </c>
      <c r="C800" s="79" t="s">
        <v>2095</v>
      </c>
      <c r="D800" s="79" t="s">
        <v>1742</v>
      </c>
      <c r="E800" s="80">
        <v>0</v>
      </c>
      <c r="F800" s="80">
        <v>11414299</v>
      </c>
      <c r="G800" s="78">
        <v>221466675</v>
      </c>
      <c r="H800" s="78" t="s">
        <v>2016</v>
      </c>
      <c r="I800" t="s">
        <v>1557</v>
      </c>
    </row>
    <row r="801" spans="1:9">
      <c r="A801" s="78" t="s">
        <v>2096</v>
      </c>
      <c r="B801" s="78" t="s">
        <v>1916</v>
      </c>
      <c r="C801" s="79" t="s">
        <v>2097</v>
      </c>
      <c r="D801" s="79" t="s">
        <v>2098</v>
      </c>
      <c r="E801" s="80">
        <v>0</v>
      </c>
      <c r="F801" s="80">
        <v>216061</v>
      </c>
      <c r="G801" s="78">
        <v>232880974</v>
      </c>
      <c r="H801" s="78" t="s">
        <v>2016</v>
      </c>
      <c r="I801" t="s">
        <v>1557</v>
      </c>
    </row>
    <row r="802" spans="1:9">
      <c r="A802" s="78" t="s">
        <v>2099</v>
      </c>
      <c r="B802" s="78" t="s">
        <v>1916</v>
      </c>
      <c r="C802" s="79" t="s">
        <v>2100</v>
      </c>
      <c r="D802" s="79" t="s">
        <v>2101</v>
      </c>
      <c r="E802" s="80">
        <v>180000000</v>
      </c>
      <c r="F802" s="80">
        <v>0</v>
      </c>
      <c r="G802" s="78">
        <v>233097035</v>
      </c>
      <c r="H802" s="78" t="s">
        <v>2102</v>
      </c>
      <c r="I802" t="s">
        <v>1557</v>
      </c>
    </row>
    <row r="803" spans="1:9">
      <c r="A803" s="78" t="s">
        <v>2103</v>
      </c>
      <c r="B803" s="78" t="s">
        <v>2104</v>
      </c>
      <c r="C803" s="79" t="s">
        <v>2105</v>
      </c>
      <c r="D803" s="79" t="s">
        <v>1852</v>
      </c>
      <c r="E803" s="80">
        <v>0</v>
      </c>
      <c r="F803" s="80">
        <v>5431588</v>
      </c>
      <c r="G803" s="78">
        <v>53097035</v>
      </c>
      <c r="H803" s="78" t="s">
        <v>2106</v>
      </c>
      <c r="I803" t="s">
        <v>1557</v>
      </c>
    </row>
    <row r="804" spans="1:9">
      <c r="A804" s="78" t="s">
        <v>2107</v>
      </c>
      <c r="B804" s="78" t="s">
        <v>2104</v>
      </c>
      <c r="C804" s="79" t="s">
        <v>2108</v>
      </c>
      <c r="D804" s="79" t="s">
        <v>1753</v>
      </c>
      <c r="E804" s="80">
        <v>0</v>
      </c>
      <c r="F804" s="80">
        <v>3450771</v>
      </c>
      <c r="G804" s="78">
        <v>58528623</v>
      </c>
      <c r="H804" s="78" t="s">
        <v>2106</v>
      </c>
      <c r="I804" t="s">
        <v>1557</v>
      </c>
    </row>
    <row r="805" spans="1:9">
      <c r="A805" s="78" t="s">
        <v>2109</v>
      </c>
      <c r="B805" s="78" t="s">
        <v>2104</v>
      </c>
      <c r="C805" s="79" t="s">
        <v>2110</v>
      </c>
      <c r="D805" s="79" t="s">
        <v>1761</v>
      </c>
      <c r="E805" s="80">
        <v>0</v>
      </c>
      <c r="F805" s="80">
        <v>17872258</v>
      </c>
      <c r="G805" s="78">
        <v>61979394</v>
      </c>
      <c r="H805" s="78" t="s">
        <v>2106</v>
      </c>
      <c r="I805" t="s">
        <v>1557</v>
      </c>
    </row>
    <row r="806" spans="1:9">
      <c r="A806" s="78" t="s">
        <v>2111</v>
      </c>
      <c r="B806" s="78" t="s">
        <v>2104</v>
      </c>
      <c r="C806" s="79" t="s">
        <v>2112</v>
      </c>
      <c r="D806" s="79" t="s">
        <v>1856</v>
      </c>
      <c r="E806" s="80">
        <v>0</v>
      </c>
      <c r="F806" s="80">
        <v>5181788</v>
      </c>
      <c r="G806" s="78">
        <v>79851652</v>
      </c>
      <c r="H806" s="78" t="s">
        <v>2106</v>
      </c>
      <c r="I806" t="s">
        <v>1557</v>
      </c>
    </row>
    <row r="807" spans="1:9">
      <c r="A807" s="78" t="s">
        <v>2113</v>
      </c>
      <c r="B807" s="78" t="s">
        <v>2104</v>
      </c>
      <c r="C807" s="79" t="s">
        <v>2114</v>
      </c>
      <c r="D807" s="79" t="s">
        <v>1795</v>
      </c>
      <c r="E807" s="80">
        <v>0</v>
      </c>
      <c r="F807" s="80">
        <v>6938660</v>
      </c>
      <c r="G807" s="78">
        <v>85033440</v>
      </c>
      <c r="H807" s="78" t="s">
        <v>2106</v>
      </c>
      <c r="I807" t="s">
        <v>1557</v>
      </c>
    </row>
    <row r="808" spans="1:9">
      <c r="A808" s="78" t="s">
        <v>2115</v>
      </c>
      <c r="B808" s="78" t="s">
        <v>2104</v>
      </c>
      <c r="C808" s="79" t="s">
        <v>2116</v>
      </c>
      <c r="D808" s="79" t="s">
        <v>1805</v>
      </c>
      <c r="E808" s="80">
        <v>0</v>
      </c>
      <c r="F808" s="80">
        <v>7234154</v>
      </c>
      <c r="G808" s="78">
        <v>91972100</v>
      </c>
      <c r="H808" s="78" t="s">
        <v>2106</v>
      </c>
      <c r="I808" t="s">
        <v>1557</v>
      </c>
    </row>
    <row r="809" spans="1:9">
      <c r="A809" s="78" t="s">
        <v>2117</v>
      </c>
      <c r="B809" s="78" t="s">
        <v>2104</v>
      </c>
      <c r="C809" s="79" t="s">
        <v>2118</v>
      </c>
      <c r="D809" s="79" t="s">
        <v>1826</v>
      </c>
      <c r="E809" s="80">
        <v>0</v>
      </c>
      <c r="F809" s="80">
        <v>10378476</v>
      </c>
      <c r="G809" s="78">
        <v>99206254</v>
      </c>
      <c r="H809" s="78" t="s">
        <v>2106</v>
      </c>
      <c r="I809" t="s">
        <v>1557</v>
      </c>
    </row>
    <row r="810" spans="1:9">
      <c r="A810" s="78" t="s">
        <v>2119</v>
      </c>
      <c r="B810" s="78" t="s">
        <v>2104</v>
      </c>
      <c r="C810" s="79" t="s">
        <v>2120</v>
      </c>
      <c r="D810" s="79" t="s">
        <v>2121</v>
      </c>
      <c r="E810" s="80">
        <v>0</v>
      </c>
      <c r="F810" s="80">
        <v>5680467</v>
      </c>
      <c r="G810" s="78">
        <v>109584730</v>
      </c>
      <c r="H810" s="78" t="s">
        <v>2106</v>
      </c>
      <c r="I810" t="s">
        <v>1557</v>
      </c>
    </row>
    <row r="811" spans="1:9">
      <c r="A811" s="78" t="s">
        <v>2122</v>
      </c>
      <c r="B811" s="78" t="s">
        <v>2104</v>
      </c>
      <c r="C811" s="79" t="s">
        <v>2123</v>
      </c>
      <c r="D811" s="79" t="s">
        <v>1755</v>
      </c>
      <c r="E811" s="80">
        <v>0</v>
      </c>
      <c r="F811" s="80">
        <v>3617059</v>
      </c>
      <c r="G811" s="78">
        <v>115265197</v>
      </c>
      <c r="H811" s="78" t="s">
        <v>2106</v>
      </c>
      <c r="I811" t="s">
        <v>1557</v>
      </c>
    </row>
    <row r="812" spans="1:9">
      <c r="A812" s="78" t="s">
        <v>2124</v>
      </c>
      <c r="B812" s="78" t="s">
        <v>2104</v>
      </c>
      <c r="C812" s="79" t="s">
        <v>2125</v>
      </c>
      <c r="D812" s="79" t="s">
        <v>1801</v>
      </c>
      <c r="E812" s="80">
        <v>0</v>
      </c>
      <c r="F812" s="80">
        <v>4499590</v>
      </c>
      <c r="G812" s="78">
        <v>118882256</v>
      </c>
      <c r="H812" s="78" t="s">
        <v>2106</v>
      </c>
      <c r="I812" t="s">
        <v>1557</v>
      </c>
    </row>
    <row r="813" spans="1:9">
      <c r="A813" s="78" t="s">
        <v>2126</v>
      </c>
      <c r="B813" s="78" t="s">
        <v>2104</v>
      </c>
      <c r="C813" s="79" t="s">
        <v>2127</v>
      </c>
      <c r="D813" s="79" t="s">
        <v>1791</v>
      </c>
      <c r="E813" s="80">
        <v>0</v>
      </c>
      <c r="F813" s="80">
        <v>5191577</v>
      </c>
      <c r="G813" s="78">
        <v>123381846</v>
      </c>
      <c r="H813" s="78" t="s">
        <v>2106</v>
      </c>
      <c r="I813" t="s">
        <v>1557</v>
      </c>
    </row>
    <row r="814" spans="1:9">
      <c r="A814" s="78" t="s">
        <v>2128</v>
      </c>
      <c r="B814" s="78" t="s">
        <v>2104</v>
      </c>
      <c r="C814" s="79" t="s">
        <v>2129</v>
      </c>
      <c r="D814" s="79" t="s">
        <v>1854</v>
      </c>
      <c r="E814" s="80">
        <v>0</v>
      </c>
      <c r="F814" s="80">
        <v>7258083</v>
      </c>
      <c r="G814" s="78">
        <v>128573423</v>
      </c>
      <c r="H814" s="78" t="s">
        <v>2106</v>
      </c>
      <c r="I814" t="s">
        <v>1557</v>
      </c>
    </row>
    <row r="815" spans="1:9">
      <c r="A815" s="78" t="s">
        <v>2130</v>
      </c>
      <c r="B815" s="78" t="s">
        <v>2104</v>
      </c>
      <c r="C815" s="79" t="s">
        <v>2131</v>
      </c>
      <c r="D815" s="79" t="s">
        <v>1816</v>
      </c>
      <c r="E815" s="80">
        <v>0</v>
      </c>
      <c r="F815" s="80">
        <v>5172369</v>
      </c>
      <c r="G815" s="78">
        <v>135831506</v>
      </c>
      <c r="H815" s="78" t="s">
        <v>2106</v>
      </c>
      <c r="I815" t="s">
        <v>1557</v>
      </c>
    </row>
    <row r="816" spans="1:9">
      <c r="A816" s="78" t="s">
        <v>2132</v>
      </c>
      <c r="B816" s="78" t="s">
        <v>2104</v>
      </c>
      <c r="C816" s="79" t="s">
        <v>2133</v>
      </c>
      <c r="D816" s="79" t="s">
        <v>2134</v>
      </c>
      <c r="E816" s="80">
        <v>0</v>
      </c>
      <c r="F816" s="80">
        <v>65635888</v>
      </c>
      <c r="G816" s="78">
        <v>141003875</v>
      </c>
      <c r="H816" s="78" t="s">
        <v>2106</v>
      </c>
      <c r="I816" t="s">
        <v>1557</v>
      </c>
    </row>
    <row r="817" spans="1:9">
      <c r="A817" s="78" t="s">
        <v>2135</v>
      </c>
      <c r="B817" s="78" t="s">
        <v>2104</v>
      </c>
      <c r="C817" s="79" t="s">
        <v>2136</v>
      </c>
      <c r="D817" s="79" t="s">
        <v>1774</v>
      </c>
      <c r="E817" s="80">
        <v>0</v>
      </c>
      <c r="F817" s="80">
        <v>8679710</v>
      </c>
      <c r="G817" s="78">
        <v>206639763</v>
      </c>
      <c r="H817" s="78" t="s">
        <v>2106</v>
      </c>
      <c r="I817" t="s">
        <v>1557</v>
      </c>
    </row>
    <row r="818" spans="1:9">
      <c r="A818" s="78" t="s">
        <v>2137</v>
      </c>
      <c r="B818" s="78" t="s">
        <v>2104</v>
      </c>
      <c r="C818" s="79" t="s">
        <v>2138</v>
      </c>
      <c r="D818" s="79" t="s">
        <v>1785</v>
      </c>
      <c r="E818" s="80">
        <v>0</v>
      </c>
      <c r="F818" s="80">
        <v>6938660</v>
      </c>
      <c r="G818" s="78">
        <v>215319473</v>
      </c>
      <c r="H818" s="78" t="s">
        <v>2106</v>
      </c>
      <c r="I818" t="s">
        <v>1557</v>
      </c>
    </row>
    <row r="819" spans="1:9">
      <c r="A819" s="78" t="s">
        <v>2139</v>
      </c>
      <c r="B819" s="78" t="s">
        <v>2104</v>
      </c>
      <c r="C819" s="79" t="s">
        <v>2140</v>
      </c>
      <c r="D819" s="79" t="s">
        <v>1882</v>
      </c>
      <c r="E819" s="80">
        <v>0</v>
      </c>
      <c r="F819" s="80">
        <v>5422615</v>
      </c>
      <c r="G819" s="78">
        <v>222258133</v>
      </c>
      <c r="H819" s="78" t="s">
        <v>2106</v>
      </c>
      <c r="I819" t="s">
        <v>1557</v>
      </c>
    </row>
    <row r="820" spans="1:9">
      <c r="A820" s="78" t="s">
        <v>2141</v>
      </c>
      <c r="B820" s="78" t="s">
        <v>2104</v>
      </c>
      <c r="C820" s="79" t="s">
        <v>2142</v>
      </c>
      <c r="D820" s="79" t="s">
        <v>2143</v>
      </c>
      <c r="E820" s="80">
        <v>0</v>
      </c>
      <c r="F820" s="80">
        <v>9108989</v>
      </c>
      <c r="G820" s="78">
        <v>227680748</v>
      </c>
      <c r="H820" s="78" t="s">
        <v>2106</v>
      </c>
      <c r="I820" t="s">
        <v>1557</v>
      </c>
    </row>
    <row r="821" spans="1:9">
      <c r="A821" s="78" t="s">
        <v>2144</v>
      </c>
      <c r="B821" s="78" t="s">
        <v>2104</v>
      </c>
      <c r="C821" s="79" t="s">
        <v>2145</v>
      </c>
      <c r="D821" s="79" t="s">
        <v>1782</v>
      </c>
      <c r="E821" s="80">
        <v>0</v>
      </c>
      <c r="F821" s="80">
        <v>6900494</v>
      </c>
      <c r="G821" s="78">
        <v>236789737</v>
      </c>
      <c r="H821" s="78" t="s">
        <v>2106</v>
      </c>
      <c r="I821" t="s">
        <v>1557</v>
      </c>
    </row>
    <row r="822" spans="1:9">
      <c r="A822" s="78" t="s">
        <v>2146</v>
      </c>
      <c r="B822" s="78" t="s">
        <v>2104</v>
      </c>
      <c r="C822" s="79" t="s">
        <v>2147</v>
      </c>
      <c r="D822" s="79" t="s">
        <v>1846</v>
      </c>
      <c r="E822" s="80">
        <v>0</v>
      </c>
      <c r="F822" s="80">
        <v>5450332</v>
      </c>
      <c r="G822" s="78">
        <v>243690231</v>
      </c>
      <c r="H822" s="78" t="s">
        <v>2106</v>
      </c>
      <c r="I822" t="s">
        <v>1557</v>
      </c>
    </row>
    <row r="823" spans="1:9">
      <c r="A823" s="78" t="s">
        <v>2148</v>
      </c>
      <c r="B823" s="78" t="s">
        <v>2104</v>
      </c>
      <c r="C823" s="79" t="s">
        <v>2149</v>
      </c>
      <c r="D823" s="79" t="s">
        <v>1751</v>
      </c>
      <c r="E823" s="80">
        <v>0</v>
      </c>
      <c r="F823" s="80">
        <v>4034763</v>
      </c>
      <c r="G823" s="78">
        <v>249140563</v>
      </c>
      <c r="H823" s="78" t="s">
        <v>2106</v>
      </c>
      <c r="I823" t="s">
        <v>1557</v>
      </c>
    </row>
    <row r="824" spans="1:9">
      <c r="A824" s="78" t="s">
        <v>2150</v>
      </c>
      <c r="B824" s="78" t="s">
        <v>2104</v>
      </c>
      <c r="C824" s="79" t="s">
        <v>2151</v>
      </c>
      <c r="D824" s="79" t="s">
        <v>1803</v>
      </c>
      <c r="E824" s="80">
        <v>0</v>
      </c>
      <c r="F824" s="80">
        <v>6913052</v>
      </c>
      <c r="G824" s="78">
        <v>253175326</v>
      </c>
      <c r="H824" s="78" t="s">
        <v>2106</v>
      </c>
      <c r="I824" t="s">
        <v>1557</v>
      </c>
    </row>
    <row r="825" spans="1:9">
      <c r="A825" s="78" t="s">
        <v>2152</v>
      </c>
      <c r="B825" s="78" t="s">
        <v>2104</v>
      </c>
      <c r="C825" s="79" t="s">
        <v>2153</v>
      </c>
      <c r="D825" s="79" t="s">
        <v>1770</v>
      </c>
      <c r="E825" s="80">
        <v>0</v>
      </c>
      <c r="F825" s="80">
        <v>10878933</v>
      </c>
      <c r="G825" s="78">
        <v>260088378</v>
      </c>
      <c r="H825" s="78" t="s">
        <v>2106</v>
      </c>
      <c r="I825" t="s">
        <v>1557</v>
      </c>
    </row>
    <row r="826" spans="1:9">
      <c r="A826" s="78" t="s">
        <v>2154</v>
      </c>
      <c r="B826" s="78" t="s">
        <v>2104</v>
      </c>
      <c r="C826" s="79" t="s">
        <v>2155</v>
      </c>
      <c r="D826" s="79" t="s">
        <v>1776</v>
      </c>
      <c r="E826" s="80">
        <v>0</v>
      </c>
      <c r="F826" s="80">
        <v>10377738</v>
      </c>
      <c r="G826" s="78">
        <v>270967311</v>
      </c>
      <c r="H826" s="78" t="s">
        <v>2106</v>
      </c>
      <c r="I826" t="s">
        <v>1557</v>
      </c>
    </row>
    <row r="827" spans="1:9">
      <c r="A827" s="78" t="s">
        <v>2156</v>
      </c>
      <c r="B827" s="78" t="s">
        <v>2104</v>
      </c>
      <c r="C827" s="79" t="s">
        <v>2157</v>
      </c>
      <c r="D827" s="79" t="s">
        <v>1844</v>
      </c>
      <c r="E827" s="80">
        <v>0</v>
      </c>
      <c r="F827" s="80">
        <v>7234154</v>
      </c>
      <c r="G827" s="78">
        <v>281345049</v>
      </c>
      <c r="H827" s="78" t="s">
        <v>2106</v>
      </c>
      <c r="I827" t="s">
        <v>1557</v>
      </c>
    </row>
    <row r="828" spans="1:9">
      <c r="A828" s="78" t="s">
        <v>2158</v>
      </c>
      <c r="B828" s="78" t="s">
        <v>2104</v>
      </c>
      <c r="C828" s="79" t="s">
        <v>2159</v>
      </c>
      <c r="D828" s="79" t="s">
        <v>1772</v>
      </c>
      <c r="E828" s="80">
        <v>0</v>
      </c>
      <c r="F828" s="80">
        <v>7247181</v>
      </c>
      <c r="G828" s="78">
        <v>288579203</v>
      </c>
      <c r="H828" s="78" t="s">
        <v>2106</v>
      </c>
      <c r="I828" t="s">
        <v>1557</v>
      </c>
    </row>
    <row r="829" spans="1:9">
      <c r="A829" s="78" t="s">
        <v>2160</v>
      </c>
      <c r="B829" s="78" t="s">
        <v>2104</v>
      </c>
      <c r="C829" s="79" t="s">
        <v>2161</v>
      </c>
      <c r="D829" s="79" t="s">
        <v>1880</v>
      </c>
      <c r="E829" s="80">
        <v>0</v>
      </c>
      <c r="F829" s="80">
        <v>5422615</v>
      </c>
      <c r="G829" s="78">
        <v>295826384</v>
      </c>
      <c r="H829" s="78" t="s">
        <v>2106</v>
      </c>
      <c r="I829" t="s">
        <v>1557</v>
      </c>
    </row>
    <row r="830" spans="1:9">
      <c r="A830" s="78" t="s">
        <v>2162</v>
      </c>
      <c r="B830" s="78" t="s">
        <v>2104</v>
      </c>
      <c r="C830" s="79" t="s">
        <v>2163</v>
      </c>
      <c r="D830" s="79" t="s">
        <v>2164</v>
      </c>
      <c r="E830" s="80">
        <v>0</v>
      </c>
      <c r="F830" s="80">
        <v>5044936</v>
      </c>
      <c r="G830" s="78">
        <v>301248999</v>
      </c>
      <c r="H830" s="78" t="s">
        <v>2106</v>
      </c>
      <c r="I830" t="s">
        <v>1557</v>
      </c>
    </row>
    <row r="831" spans="1:9">
      <c r="A831" s="78" t="s">
        <v>2165</v>
      </c>
      <c r="B831" s="78" t="s">
        <v>2104</v>
      </c>
      <c r="C831" s="79" t="s">
        <v>2166</v>
      </c>
      <c r="D831" s="79" t="s">
        <v>1778</v>
      </c>
      <c r="E831" s="80">
        <v>0</v>
      </c>
      <c r="F831" s="80">
        <v>5459305</v>
      </c>
      <c r="G831" s="78">
        <v>306293935</v>
      </c>
      <c r="H831" s="78" t="s">
        <v>2106</v>
      </c>
      <c r="I831" t="s">
        <v>1557</v>
      </c>
    </row>
    <row r="832" spans="1:9">
      <c r="A832" s="78" t="s">
        <v>2167</v>
      </c>
      <c r="B832" s="78" t="s">
        <v>2104</v>
      </c>
      <c r="C832" s="79" t="s">
        <v>2168</v>
      </c>
      <c r="D832" s="79" t="s">
        <v>1807</v>
      </c>
      <c r="E832" s="80">
        <v>0</v>
      </c>
      <c r="F832" s="80">
        <v>7234154</v>
      </c>
      <c r="G832" s="78">
        <v>311753240</v>
      </c>
      <c r="H832" s="78" t="s">
        <v>2169</v>
      </c>
      <c r="I832" t="s">
        <v>1557</v>
      </c>
    </row>
    <row r="833" spans="1:9">
      <c r="A833" s="78" t="s">
        <v>2170</v>
      </c>
      <c r="B833" s="78" t="s">
        <v>2104</v>
      </c>
      <c r="C833" s="79" t="s">
        <v>2171</v>
      </c>
      <c r="D833" s="79" t="s">
        <v>2172</v>
      </c>
      <c r="E833" s="80">
        <v>0</v>
      </c>
      <c r="F833" s="80">
        <v>1902437</v>
      </c>
      <c r="G833" s="78">
        <v>318987394</v>
      </c>
      <c r="H833" s="78" t="s">
        <v>2169</v>
      </c>
      <c r="I833" t="s">
        <v>1557</v>
      </c>
    </row>
    <row r="834" spans="1:9">
      <c r="A834" s="78" t="s">
        <v>2173</v>
      </c>
      <c r="B834" s="78" t="s">
        <v>2104</v>
      </c>
      <c r="C834" s="79" t="s">
        <v>2174</v>
      </c>
      <c r="D834" s="79" t="s">
        <v>1850</v>
      </c>
      <c r="E834" s="80">
        <v>0</v>
      </c>
      <c r="F834" s="80">
        <v>5200994</v>
      </c>
      <c r="G834" s="78">
        <v>320889831</v>
      </c>
      <c r="H834" s="78" t="s">
        <v>2169</v>
      </c>
      <c r="I834" t="s">
        <v>1557</v>
      </c>
    </row>
    <row r="835" spans="1:9">
      <c r="A835" s="78" t="s">
        <v>2175</v>
      </c>
      <c r="B835" s="78" t="s">
        <v>2104</v>
      </c>
      <c r="C835" s="79" t="s">
        <v>2176</v>
      </c>
      <c r="D835" s="79" t="s">
        <v>1748</v>
      </c>
      <c r="E835" s="80">
        <v>0</v>
      </c>
      <c r="F835" s="80">
        <v>5450332</v>
      </c>
      <c r="G835" s="78">
        <v>326090825</v>
      </c>
      <c r="H835" s="78" t="s">
        <v>2169</v>
      </c>
      <c r="I835" t="s">
        <v>1557</v>
      </c>
    </row>
    <row r="836" spans="1:9">
      <c r="A836" s="78" t="s">
        <v>2182</v>
      </c>
      <c r="B836" s="78" t="s">
        <v>2104</v>
      </c>
      <c r="C836" s="79" t="s">
        <v>2177</v>
      </c>
      <c r="D836" s="79" t="s">
        <v>2178</v>
      </c>
      <c r="E836" s="80">
        <v>250000000</v>
      </c>
      <c r="F836" s="80">
        <v>0</v>
      </c>
      <c r="G836" s="78">
        <v>331541157</v>
      </c>
      <c r="H836" s="78" t="s">
        <v>2179</v>
      </c>
      <c r="I836" t="s">
        <v>1557</v>
      </c>
    </row>
  </sheetData>
  <conditionalFormatting sqref="B366:H394">
    <cfRule type="expression" dxfId="1" priority="2" stopIfTrue="1">
      <formula>AND(MOD(ROW(),2)=1,NOT(ISBLANK($B366)))</formula>
    </cfRule>
  </conditionalFormatting>
  <conditionalFormatting sqref="C395:I395">
    <cfRule type="expression" dxfId="0" priority="1" stopIfTrue="1">
      <formula>AND(MOD(ROW(),2)=1,NOT(ISBLANK($D395)))</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tabSelected="1" zoomScaleNormal="100" workbookViewId="0">
      <pane xSplit="7" ySplit="1" topLeftCell="H2" activePane="bottomRight" state="frozen"/>
      <selection pane="topRight" activeCell="G1" sqref="G1"/>
      <selection pane="bottomLeft" activeCell="A2" sqref="A2"/>
      <selection pane="bottomRight" activeCell="G29" sqref="G29"/>
    </sheetView>
  </sheetViews>
  <sheetFormatPr defaultRowHeight="15"/>
  <cols>
    <col min="1" max="1" width="5.140625" style="22" customWidth="1"/>
    <col min="2" max="2" width="14.140625" style="25" customWidth="1"/>
    <col min="3" max="3" width="15" style="25" bestFit="1" customWidth="1"/>
    <col min="4" max="4" width="21" style="67" bestFit="1" customWidth="1"/>
    <col min="5" max="5" width="16.28515625" style="26" customWidth="1"/>
    <col min="6" max="6" width="16.28515625" style="27" customWidth="1"/>
    <col min="7" max="7" width="8.28515625" style="14" customWidth="1"/>
    <col min="8" max="8" width="8.42578125" style="35" customWidth="1"/>
    <col min="9" max="9" width="21" style="35" customWidth="1"/>
    <col min="10" max="10" width="23.28515625" style="36" customWidth="1"/>
    <col min="11" max="11" width="6.7109375" style="14" customWidth="1"/>
    <col min="12" max="12" width="16.85546875" style="17" customWidth="1"/>
    <col min="13" max="13" width="15.42578125" style="14" customWidth="1"/>
    <col min="14" max="14" width="15.85546875" style="27" customWidth="1"/>
    <col min="15" max="16" width="14.85546875" style="14" customWidth="1"/>
    <col min="17" max="17" width="15.85546875" style="14" bestFit="1" customWidth="1"/>
    <col min="18" max="18" width="9.140625" style="14"/>
    <col min="19" max="19" width="15.85546875" style="14" bestFit="1" customWidth="1"/>
    <col min="20" max="20" width="14.85546875" style="14" bestFit="1" customWidth="1"/>
    <col min="21" max="16384" width="9.140625" style="14"/>
  </cols>
  <sheetData>
    <row r="1" spans="1:17" s="32" customFormat="1">
      <c r="A1" s="28" t="s">
        <v>134</v>
      </c>
      <c r="B1" s="29" t="s">
        <v>127</v>
      </c>
      <c r="C1" s="29" t="s">
        <v>1230</v>
      </c>
      <c r="D1" s="66" t="s">
        <v>1229</v>
      </c>
      <c r="E1" s="30" t="s">
        <v>151</v>
      </c>
      <c r="F1" s="31" t="s">
        <v>152</v>
      </c>
      <c r="H1" s="33"/>
      <c r="I1" s="33" t="s">
        <v>143</v>
      </c>
      <c r="J1" s="34"/>
      <c r="K1" s="18"/>
      <c r="L1" s="41"/>
      <c r="M1" s="18"/>
      <c r="N1" s="31"/>
    </row>
    <row r="2" spans="1:17">
      <c r="A2" s="22">
        <v>1</v>
      </c>
      <c r="B2" s="23" t="s">
        <v>69</v>
      </c>
      <c r="C2" s="23"/>
      <c r="D2" s="92">
        <f>SUMIFS(Saoke!$G:$G,Saoke!$I:$I,DQ!$C2,Saoke!$A:$A,"So du cuoi")</f>
        <v>0</v>
      </c>
      <c r="E2" s="24">
        <f>F2</f>
        <v>869528</v>
      </c>
      <c r="F2" s="42">
        <v>869528</v>
      </c>
      <c r="G2" s="14" t="str">
        <f t="shared" ref="G2:G17" si="0">LEFT(B2,3)</f>
        <v>MSB</v>
      </c>
      <c r="I2" s="35" t="s">
        <v>145</v>
      </c>
      <c r="K2" s="19" t="s">
        <v>5</v>
      </c>
      <c r="L2" s="20">
        <f>SUMIFS($E$2:$E$29,$G$2:$G$29,K2)</f>
        <v>77058511</v>
      </c>
      <c r="M2" s="21">
        <f>L2/1000000</f>
        <v>77.058510999999996</v>
      </c>
      <c r="O2" s="16"/>
      <c r="Q2" s="15"/>
    </row>
    <row r="3" spans="1:17">
      <c r="A3" s="22">
        <v>2</v>
      </c>
      <c r="B3" s="23" t="s">
        <v>85</v>
      </c>
      <c r="C3" s="64" t="s">
        <v>320</v>
      </c>
      <c r="D3" s="92">
        <f>SUMIFS(Saoke!$G:$G,Saoke!$I:$I,DQ!$C3,Saoke!$A:$A,"So du cuoi")</f>
        <v>273352</v>
      </c>
      <c r="E3" s="46">
        <v>273352</v>
      </c>
      <c r="F3" s="42">
        <v>153191</v>
      </c>
      <c r="G3" s="14" t="str">
        <f t="shared" si="0"/>
        <v>MSB</v>
      </c>
      <c r="I3" s="35" t="s">
        <v>144</v>
      </c>
      <c r="K3" s="19" t="s">
        <v>133</v>
      </c>
      <c r="L3" s="20">
        <f>SUMIFS($E$2:$E$29,$G$2:$G$29,K3)</f>
        <v>1999924563</v>
      </c>
      <c r="M3" s="21">
        <f>L3/1000000</f>
        <v>1999.924563</v>
      </c>
      <c r="Q3" s="15"/>
    </row>
    <row r="4" spans="1:17">
      <c r="A4" s="22">
        <v>3</v>
      </c>
      <c r="B4" s="23" t="s">
        <v>81</v>
      </c>
      <c r="C4" s="64" t="s">
        <v>329</v>
      </c>
      <c r="D4" s="92">
        <f>SUMIFS(Saoke!$G:$G,Saoke!$I:$I,DQ!$C4,Saoke!$A:$A,"So du cuoi")</f>
        <v>7987878</v>
      </c>
      <c r="E4" s="46">
        <v>7987878</v>
      </c>
      <c r="F4" s="42">
        <v>112156791</v>
      </c>
      <c r="G4" s="14" t="str">
        <f t="shared" si="0"/>
        <v>MSB</v>
      </c>
      <c r="I4" s="35" t="s">
        <v>144</v>
      </c>
      <c r="K4" s="19" t="s">
        <v>6</v>
      </c>
      <c r="L4" s="20">
        <f>SUMIFS($E$2:$E$29,$G$2:$G$29,K4)</f>
        <v>158768684</v>
      </c>
      <c r="M4" s="21">
        <f>L4/1000000</f>
        <v>158.76868400000001</v>
      </c>
      <c r="Q4" s="15"/>
    </row>
    <row r="5" spans="1:17">
      <c r="A5" s="22">
        <v>4</v>
      </c>
      <c r="B5" s="23" t="s">
        <v>107</v>
      </c>
      <c r="C5" s="64" t="s">
        <v>392</v>
      </c>
      <c r="D5" s="92">
        <f>SUMIFS(Saoke!$G:$G,Saoke!$I:$I,DQ!$C5,Saoke!$A:$A,"So du cuoi")</f>
        <v>894381</v>
      </c>
      <c r="E5" s="46">
        <v>894381</v>
      </c>
      <c r="F5" s="42">
        <v>25212414</v>
      </c>
      <c r="G5" s="14" t="str">
        <f t="shared" si="0"/>
        <v>MSB</v>
      </c>
      <c r="I5" s="35" t="s">
        <v>146</v>
      </c>
      <c r="K5" s="19" t="s">
        <v>130</v>
      </c>
      <c r="L5" s="20">
        <f>SUMIFS($E$2:$E$29,$G$2:$G$29,K5)</f>
        <v>1000000</v>
      </c>
      <c r="M5" s="21">
        <f t="shared" ref="M5:M7" si="1">L5/1000000</f>
        <v>1</v>
      </c>
      <c r="Q5" s="15"/>
    </row>
    <row r="6" spans="1:17">
      <c r="A6" s="22">
        <v>5</v>
      </c>
      <c r="B6" s="23" t="s">
        <v>53</v>
      </c>
      <c r="C6" s="64" t="s">
        <v>405</v>
      </c>
      <c r="D6" s="92">
        <f>SUMIFS(Saoke!$G:$G,Saoke!$I:$I,DQ!$C6,Saoke!$A:$A,"So du cuoi")</f>
        <v>2506316</v>
      </c>
      <c r="E6" s="46">
        <v>2506316</v>
      </c>
      <c r="F6" s="42">
        <v>12612000</v>
      </c>
      <c r="G6" s="14" t="str">
        <f t="shared" si="0"/>
        <v>MSB</v>
      </c>
      <c r="I6" s="35" t="s">
        <v>146</v>
      </c>
      <c r="K6" s="19" t="s">
        <v>7</v>
      </c>
      <c r="L6" s="20">
        <f>SUMIFS($E$2:$E$29,$G$2:$G$29,K6)</f>
        <v>72402543</v>
      </c>
      <c r="M6" s="21">
        <f t="shared" si="1"/>
        <v>72.402542999999994</v>
      </c>
      <c r="Q6" s="15"/>
    </row>
    <row r="7" spans="1:17">
      <c r="A7" s="22">
        <v>6</v>
      </c>
      <c r="B7" s="23" t="s">
        <v>24</v>
      </c>
      <c r="C7" s="64" t="s">
        <v>414</v>
      </c>
      <c r="D7" s="92">
        <f>SUMIFS(Saoke!$G:$G,Saoke!$I:$I,DQ!$C7,Saoke!$A:$A,"So du cuoi")</f>
        <v>33452</v>
      </c>
      <c r="E7" s="46">
        <v>33452</v>
      </c>
      <c r="F7" s="42">
        <v>1344896</v>
      </c>
      <c r="G7" s="14" t="str">
        <f t="shared" si="0"/>
        <v>MSB</v>
      </c>
      <c r="I7" s="35" t="s">
        <v>147</v>
      </c>
      <c r="K7" s="19" t="s">
        <v>126</v>
      </c>
      <c r="L7" s="20">
        <f>SUMIFS($E$2:$E$29,G2:G29,K7)</f>
        <v>547344</v>
      </c>
      <c r="M7" s="21">
        <f t="shared" si="1"/>
        <v>0.54734400000000005</v>
      </c>
      <c r="Q7" s="15"/>
    </row>
    <row r="8" spans="1:17">
      <c r="A8" s="22">
        <v>7</v>
      </c>
      <c r="B8" s="23" t="s">
        <v>57</v>
      </c>
      <c r="C8" s="64" t="s">
        <v>423</v>
      </c>
      <c r="D8" s="92">
        <f>SUMIFS(Saoke!$G:$G,Saoke!$I:$I,DQ!$C8,Saoke!$A:$A,"So du cuoi")</f>
        <v>1155</v>
      </c>
      <c r="E8" s="45">
        <v>1155</v>
      </c>
      <c r="F8" s="42">
        <v>17508413</v>
      </c>
      <c r="G8" s="14" t="str">
        <f t="shared" si="0"/>
        <v>MSB</v>
      </c>
      <c r="H8" s="35" t="s">
        <v>135</v>
      </c>
      <c r="I8" s="35" t="s">
        <v>147</v>
      </c>
      <c r="K8" s="38" t="s">
        <v>8</v>
      </c>
      <c r="L8" s="39">
        <f>SUM(L2:L7)</f>
        <v>2309701645</v>
      </c>
      <c r="M8" s="40">
        <f>SUM(M2:M7)</f>
        <v>2309.7016450000006</v>
      </c>
    </row>
    <row r="9" spans="1:17">
      <c r="A9" s="22">
        <v>8</v>
      </c>
      <c r="B9" s="23" t="s">
        <v>111</v>
      </c>
      <c r="C9" s="64" t="s">
        <v>429</v>
      </c>
      <c r="D9" s="92">
        <f>SUMIFS(Saoke!$G:$G,Saoke!$I:$I,DQ!$C9,Saoke!$A:$A,"So du cuoi")</f>
        <v>66251418</v>
      </c>
      <c r="E9" s="45">
        <v>58651418</v>
      </c>
      <c r="F9" s="42">
        <v>1215136</v>
      </c>
      <c r="G9" s="14" t="str">
        <f t="shared" si="0"/>
        <v>MSB</v>
      </c>
      <c r="I9" s="35" t="s">
        <v>148</v>
      </c>
    </row>
    <row r="10" spans="1:17">
      <c r="A10" s="22">
        <v>9</v>
      </c>
      <c r="B10" s="23" t="s">
        <v>61</v>
      </c>
      <c r="C10" s="64" t="s">
        <v>476</v>
      </c>
      <c r="D10" s="92">
        <f>SUMIFS(Saoke!$G:$G,Saoke!$I:$I,DQ!$C10,Saoke!$A:$A,"So du cuoi")</f>
        <v>2672216</v>
      </c>
      <c r="E10" s="45">
        <v>2672216</v>
      </c>
      <c r="F10" s="42">
        <v>48686710</v>
      </c>
      <c r="G10" s="14" t="str">
        <f t="shared" si="0"/>
        <v>MSB</v>
      </c>
      <c r="I10" s="35" t="s">
        <v>148</v>
      </c>
    </row>
    <row r="11" spans="1:17">
      <c r="A11" s="22">
        <v>10</v>
      </c>
      <c r="B11" s="23" t="s">
        <v>65</v>
      </c>
      <c r="C11" s="64" t="s">
        <v>485</v>
      </c>
      <c r="D11" s="92">
        <f>SUMIFS(Saoke!$G:$G,Saoke!$I:$I,DQ!$C11,Saoke!$A:$A,"So du cuoi")</f>
        <v>1001361</v>
      </c>
      <c r="E11" s="45">
        <v>1001361</v>
      </c>
      <c r="F11" s="42">
        <v>3700833</v>
      </c>
      <c r="G11" s="14" t="str">
        <f t="shared" si="0"/>
        <v>MSB</v>
      </c>
      <c r="I11" s="35" t="s">
        <v>148</v>
      </c>
    </row>
    <row r="12" spans="1:17">
      <c r="A12" s="22">
        <v>11</v>
      </c>
      <c r="B12" s="44" t="s">
        <v>28</v>
      </c>
      <c r="C12" s="64" t="s">
        <v>1224</v>
      </c>
      <c r="D12" s="92">
        <f>SUMIFS(Saoke!$G:$G,Saoke!$I:$I,DQ!$C12,Saoke!$A:$A,"So du cuoi")</f>
        <v>1063013</v>
      </c>
      <c r="E12" s="45">
        <v>1063013</v>
      </c>
      <c r="F12" s="42">
        <v>1977230</v>
      </c>
      <c r="G12" s="14" t="str">
        <f t="shared" si="0"/>
        <v>SCB</v>
      </c>
      <c r="I12" s="35" t="s">
        <v>146</v>
      </c>
    </row>
    <row r="13" spans="1:17">
      <c r="A13" s="22">
        <v>12</v>
      </c>
      <c r="B13" s="44" t="s">
        <v>33</v>
      </c>
      <c r="C13" s="64" t="s">
        <v>296</v>
      </c>
      <c r="D13" s="92">
        <f>SUMIFS(Saoke!$G:$G,Saoke!$I:$I,DQ!$C13,Saoke!$A:$A,"So du cuoi")</f>
        <v>4576303</v>
      </c>
      <c r="E13" s="45">
        <v>4576303</v>
      </c>
      <c r="F13" s="42">
        <v>14239364</v>
      </c>
      <c r="G13" s="14" t="str">
        <f t="shared" si="0"/>
        <v>SCB</v>
      </c>
      <c r="I13" s="35" t="s">
        <v>146</v>
      </c>
    </row>
    <row r="14" spans="1:17">
      <c r="A14" s="22">
        <v>13</v>
      </c>
      <c r="B14" s="44" t="s">
        <v>37</v>
      </c>
      <c r="C14" s="64" t="s">
        <v>491</v>
      </c>
      <c r="D14" s="92">
        <f>SUMIFS(Saoke!$G:$G,Saoke!$I:$I,DQ!$C14,Saoke!$A:$A,"So du cuoi")</f>
        <v>1040956</v>
      </c>
      <c r="E14" s="45">
        <v>1040956</v>
      </c>
      <c r="F14" s="42">
        <v>1253376</v>
      </c>
      <c r="G14" s="14" t="str">
        <f t="shared" si="0"/>
        <v>SCB</v>
      </c>
      <c r="I14" s="35" t="s">
        <v>147</v>
      </c>
    </row>
    <row r="15" spans="1:17">
      <c r="A15" s="22">
        <v>14</v>
      </c>
      <c r="B15" s="44" t="s">
        <v>41</v>
      </c>
      <c r="C15" s="64" t="s">
        <v>500</v>
      </c>
      <c r="D15" s="92">
        <f>SUMIFS(Saoke!$G:$G,Saoke!$I:$I,DQ!$C15,Saoke!$A:$A,"So du cuoi")</f>
        <v>1000744</v>
      </c>
      <c r="E15" s="45">
        <v>1000744</v>
      </c>
      <c r="F15" s="42">
        <v>10818413</v>
      </c>
      <c r="G15" s="14" t="str">
        <f t="shared" si="0"/>
        <v>SCB</v>
      </c>
      <c r="I15" s="35" t="s">
        <v>147</v>
      </c>
    </row>
    <row r="16" spans="1:17">
      <c r="A16" s="22">
        <v>15</v>
      </c>
      <c r="B16" s="44" t="s">
        <v>45</v>
      </c>
      <c r="C16" s="64" t="s">
        <v>507</v>
      </c>
      <c r="D16" s="92">
        <f>SUMIFS(Saoke!$G:$G,Saoke!$I:$I,DQ!$C16,Saoke!$A:$A,"So du cuoi")</f>
        <v>1045898</v>
      </c>
      <c r="E16" s="45">
        <v>1045898</v>
      </c>
      <c r="F16" s="42">
        <v>1253376</v>
      </c>
      <c r="G16" s="14" t="str">
        <f t="shared" si="0"/>
        <v>SCB</v>
      </c>
      <c r="I16" s="35" t="s">
        <v>148</v>
      </c>
    </row>
    <row r="17" spans="1:20">
      <c r="A17" s="22">
        <v>16</v>
      </c>
      <c r="B17" s="44" t="s">
        <v>49</v>
      </c>
      <c r="C17" s="64" t="s">
        <v>514</v>
      </c>
      <c r="D17" s="92">
        <f>SUMIFS(Saoke!$G:$G,Saoke!$I:$I,DQ!$C17,Saoke!$A:$A,"So du cuoi")</f>
        <v>32487735</v>
      </c>
      <c r="E17" s="45">
        <v>27147735</v>
      </c>
      <c r="F17" s="42">
        <v>46016710</v>
      </c>
      <c r="G17" s="14" t="str">
        <f t="shared" si="0"/>
        <v>SCB</v>
      </c>
      <c r="I17" s="35" t="s">
        <v>148</v>
      </c>
    </row>
    <row r="18" spans="1:20" s="17" customFormat="1">
      <c r="A18" s="22">
        <v>17</v>
      </c>
      <c r="B18" s="44" t="s">
        <v>128</v>
      </c>
      <c r="C18" s="64" t="s">
        <v>1557</v>
      </c>
      <c r="D18" s="92">
        <f>SUMIFS(Saoke!$G:$G,Saoke!$I:$I,DQ!$C18,Saoke!$A:$A,"So du cuoi")</f>
        <v>14050796</v>
      </c>
      <c r="E18" s="45">
        <v>14050796</v>
      </c>
      <c r="F18" s="42">
        <v>14042657</v>
      </c>
      <c r="G18" s="17" t="s">
        <v>7</v>
      </c>
      <c r="H18" s="37"/>
      <c r="I18" s="37" t="s">
        <v>148</v>
      </c>
      <c r="J18" s="36" t="s">
        <v>140</v>
      </c>
      <c r="N18" s="47"/>
      <c r="O18" s="14"/>
      <c r="P18" s="14"/>
      <c r="Q18" s="14"/>
      <c r="R18" s="14"/>
      <c r="S18" s="14"/>
      <c r="T18" s="14"/>
    </row>
    <row r="19" spans="1:20" s="17" customFormat="1">
      <c r="A19" s="22">
        <v>18</v>
      </c>
      <c r="B19" s="44" t="s">
        <v>4</v>
      </c>
      <c r="C19" s="64" t="s">
        <v>1539</v>
      </c>
      <c r="D19" s="92">
        <f>SUMIFS(Saoke!$G:$G,Saoke!$I:$I,DQ!$C19,Saoke!$A:$A,"So du cuoi")</f>
        <v>2040643</v>
      </c>
      <c r="E19" s="45">
        <v>2040379</v>
      </c>
      <c r="F19" s="42">
        <v>2040379</v>
      </c>
      <c r="G19" s="17" t="s">
        <v>7</v>
      </c>
      <c r="H19" s="37"/>
      <c r="I19" s="37" t="s">
        <v>144</v>
      </c>
      <c r="J19" s="36" t="s">
        <v>141</v>
      </c>
      <c r="N19" s="47"/>
      <c r="O19" s="14"/>
      <c r="P19" s="14"/>
      <c r="Q19" s="14"/>
      <c r="R19" s="14"/>
      <c r="S19" s="14"/>
      <c r="T19" s="14"/>
    </row>
    <row r="20" spans="1:20" s="17" customFormat="1">
      <c r="A20" s="22">
        <v>19</v>
      </c>
      <c r="B20" s="44" t="s">
        <v>3</v>
      </c>
      <c r="C20" s="23"/>
      <c r="D20" s="92">
        <f>SUMIFS(Saoke!$G:$G,Saoke!$I:$I,DQ!$C20,Saoke!$A:$A,"So du cuoi")</f>
        <v>0</v>
      </c>
      <c r="E20" s="45">
        <f t="shared" ref="E20:E25" si="2">F20</f>
        <v>0</v>
      </c>
      <c r="F20" s="42">
        <v>0</v>
      </c>
      <c r="G20" s="17" t="s">
        <v>7</v>
      </c>
      <c r="H20" s="35" t="s">
        <v>135</v>
      </c>
      <c r="I20" s="37" t="s">
        <v>145</v>
      </c>
      <c r="J20" s="36" t="s">
        <v>142</v>
      </c>
      <c r="N20" s="47"/>
      <c r="O20" s="14"/>
      <c r="P20" s="14"/>
      <c r="Q20" s="14"/>
      <c r="R20" s="14"/>
      <c r="S20" s="14"/>
      <c r="T20" s="14"/>
    </row>
    <row r="21" spans="1:20">
      <c r="A21" s="22">
        <v>20</v>
      </c>
      <c r="B21" s="44" t="s">
        <v>123</v>
      </c>
      <c r="C21" s="64" t="s">
        <v>1235</v>
      </c>
      <c r="D21" s="92">
        <f>SUMIFS(Saoke!$G:$G,Saoke!$I:$I,DQ!$C21,Saoke!$A:$A,"So du cuoi")</f>
        <v>0</v>
      </c>
      <c r="E21" s="45">
        <v>419567</v>
      </c>
      <c r="F21" s="42">
        <v>419567</v>
      </c>
      <c r="G21" s="14" t="s">
        <v>126</v>
      </c>
      <c r="I21" s="37" t="s">
        <v>146</v>
      </c>
    </row>
    <row r="22" spans="1:20">
      <c r="A22" s="22">
        <v>21</v>
      </c>
      <c r="B22" s="44" t="s">
        <v>124</v>
      </c>
      <c r="C22" s="64" t="s">
        <v>1236</v>
      </c>
      <c r="D22" s="92">
        <f>SUMIFS(Saoke!$G:$G,Saoke!$I:$I,DQ!$C22,Saoke!$A:$A,"So du cuoi")</f>
        <v>0</v>
      </c>
      <c r="E22" s="45">
        <v>36264</v>
      </c>
      <c r="F22" s="42">
        <v>36264</v>
      </c>
      <c r="G22" s="14" t="s">
        <v>126</v>
      </c>
      <c r="I22" s="37" t="s">
        <v>147</v>
      </c>
    </row>
    <row r="23" spans="1:20">
      <c r="A23" s="22">
        <v>22</v>
      </c>
      <c r="B23" s="44" t="s">
        <v>125</v>
      </c>
      <c r="C23" s="64" t="s">
        <v>1237</v>
      </c>
      <c r="D23" s="92">
        <f>SUMIFS(Saoke!$G:$G,Saoke!$I:$I,DQ!$C23,Saoke!$A:$A,"So du cuoi")</f>
        <v>0</v>
      </c>
      <c r="E23" s="45">
        <v>91513</v>
      </c>
      <c r="F23" s="42">
        <v>91513</v>
      </c>
      <c r="G23" s="14" t="s">
        <v>126</v>
      </c>
      <c r="I23" s="37" t="s">
        <v>148</v>
      </c>
    </row>
    <row r="24" spans="1:20">
      <c r="A24" s="22">
        <v>23</v>
      </c>
      <c r="B24" s="44" t="s">
        <v>2</v>
      </c>
      <c r="C24" s="64" t="s">
        <v>252</v>
      </c>
      <c r="D24" s="92">
        <f>SUMIFS(Saoke!$G:$G,Saoke!$I:$I,DQ!$C24,Saoke!$A:$A,"So du cuoi")</f>
        <v>273887</v>
      </c>
      <c r="E24" s="45">
        <v>273887</v>
      </c>
      <c r="F24" s="42">
        <v>273415</v>
      </c>
      <c r="G24" s="14" t="str">
        <f>LEFT(B24,3)</f>
        <v>MSB</v>
      </c>
      <c r="I24" s="37" t="s">
        <v>150</v>
      </c>
      <c r="J24" s="43" t="s">
        <v>138</v>
      </c>
    </row>
    <row r="25" spans="1:20">
      <c r="A25" s="22">
        <v>24</v>
      </c>
      <c r="B25" s="44" t="s">
        <v>129</v>
      </c>
      <c r="C25" s="23" t="s">
        <v>1232</v>
      </c>
      <c r="D25" s="92">
        <f>SUMIFS(Saoke!$G:$G,Saoke!$I:$I,DQ!$C25,Saoke!$A:$A,"So du cuoi")</f>
        <v>0</v>
      </c>
      <c r="E25" s="45">
        <f t="shared" si="2"/>
        <v>1000000</v>
      </c>
      <c r="F25" s="42">
        <v>1000000</v>
      </c>
      <c r="G25" s="14" t="str">
        <f>LEFT(B25,4)</f>
        <v>PVCB</v>
      </c>
      <c r="I25" s="37" t="s">
        <v>150</v>
      </c>
    </row>
    <row r="26" spans="1:20">
      <c r="A26" s="22">
        <v>25</v>
      </c>
      <c r="B26" s="44" t="s">
        <v>136</v>
      </c>
      <c r="C26" s="64" t="s">
        <v>263</v>
      </c>
      <c r="D26" s="92">
        <f>SUMIFS(Saoke!$G:$G,Saoke!$I:$I,DQ!$C26,Saoke!$A:$A,"So du cuoi")</f>
        <v>1893567</v>
      </c>
      <c r="E26" s="45">
        <v>1893567</v>
      </c>
      <c r="F26" s="42">
        <v>7619830</v>
      </c>
      <c r="G26" s="14" t="s">
        <v>5</v>
      </c>
      <c r="I26" s="37" t="s">
        <v>149</v>
      </c>
      <c r="J26" s="43" t="s">
        <v>137</v>
      </c>
    </row>
    <row r="27" spans="1:20">
      <c r="A27" s="22">
        <v>26</v>
      </c>
      <c r="B27" s="44" t="s">
        <v>131</v>
      </c>
      <c r="C27" s="64" t="s">
        <v>155</v>
      </c>
      <c r="D27" s="92">
        <f>SUMIFS(Saoke!$G:$G,Saoke!$I:$I,DQ!$C27,Saoke!$A:$A,"So du cuoi")</f>
        <v>0</v>
      </c>
      <c r="E27" s="45">
        <v>1999924563</v>
      </c>
      <c r="F27" s="42">
        <v>520465466</v>
      </c>
      <c r="G27" s="14" t="s">
        <v>133</v>
      </c>
      <c r="I27" s="37" t="s">
        <v>149</v>
      </c>
    </row>
    <row r="28" spans="1:20">
      <c r="A28" s="22">
        <v>27</v>
      </c>
      <c r="B28" s="44" t="s">
        <v>132</v>
      </c>
      <c r="C28" s="64" t="s">
        <v>1233</v>
      </c>
      <c r="D28" s="92">
        <f>SUMIFS(Saoke!$G:$G,Saoke!$I:$I,DQ!$C28,Saoke!$A:$A,"So du cuoi")</f>
        <v>0</v>
      </c>
      <c r="E28" s="45">
        <v>122894035</v>
      </c>
      <c r="F28" s="42">
        <v>314001006</v>
      </c>
      <c r="G28" s="14" t="str">
        <f t="shared" ref="G28" si="3">LEFT(B28,3)</f>
        <v>SCB</v>
      </c>
      <c r="I28" s="37" t="s">
        <v>149</v>
      </c>
    </row>
    <row r="29" spans="1:20">
      <c r="A29" s="22">
        <v>28</v>
      </c>
      <c r="B29" s="44" t="s">
        <v>2180</v>
      </c>
      <c r="C29" s="64" t="s">
        <v>1249</v>
      </c>
      <c r="D29" s="92">
        <f>SUMIFS(Saoke!$G:$G,Saoke!$I:$I,DQ!$C29,Saoke!$A:$A,"So du cuoi")</f>
        <v>174797935</v>
      </c>
      <c r="E29" s="45">
        <v>56311368</v>
      </c>
      <c r="F29" s="42">
        <v>38165120</v>
      </c>
      <c r="G29" s="17" t="s">
        <v>7</v>
      </c>
      <c r="I29" s="37" t="s">
        <v>149</v>
      </c>
      <c r="J29" s="36" t="s">
        <v>139</v>
      </c>
    </row>
    <row r="30" spans="1:20">
      <c r="C30" s="65" t="s">
        <v>1234</v>
      </c>
      <c r="D30" s="92">
        <f>SUMIFS(Saoke!$G:$G,Saoke!$I:$I,DQ!$C30,Saoke!$A:$A,"So du cuoi")</f>
        <v>0</v>
      </c>
    </row>
  </sheetData>
  <autoFilter ref="A1:T29" xr:uid="{00000000-0009-0000-0000-000002000000}"/>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G37"/>
  <sheetViews>
    <sheetView workbookViewId="0">
      <selection activeCell="J38" sqref="J38:K38"/>
    </sheetView>
  </sheetViews>
  <sheetFormatPr defaultColWidth="9.140625" defaultRowHeight="15"/>
  <cols>
    <col min="1" max="1" width="10.42578125" style="2" bestFit="1" customWidth="1"/>
    <col min="2" max="2" width="7" style="2" bestFit="1" customWidth="1"/>
    <col min="3" max="3" width="40.28515625" style="2" bestFit="1" customWidth="1"/>
    <col min="4" max="4" width="10.42578125" style="2" bestFit="1" customWidth="1"/>
    <col min="5" max="5" width="9.140625" style="2"/>
    <col min="6" max="6" width="16.28515625" style="2" bestFit="1" customWidth="1"/>
    <col min="7" max="16384" width="9.140625" style="2"/>
  </cols>
  <sheetData>
    <row r="1" spans="1:7" ht="18.75">
      <c r="B1" s="3" t="s">
        <v>9</v>
      </c>
      <c r="C1" s="3"/>
      <c r="D1" s="3"/>
      <c r="E1" s="2" t="s">
        <v>10</v>
      </c>
    </row>
    <row r="2" spans="1:7" ht="21">
      <c r="A2" s="4" t="s">
        <v>11</v>
      </c>
      <c r="B2" s="4" t="s">
        <v>12</v>
      </c>
      <c r="C2" s="4" t="s">
        <v>13</v>
      </c>
      <c r="D2" s="4" t="s">
        <v>11</v>
      </c>
    </row>
    <row r="3" spans="1:7">
      <c r="A3" s="5"/>
      <c r="B3" s="5" t="s">
        <v>14</v>
      </c>
      <c r="C3" s="5" t="s">
        <v>15</v>
      </c>
      <c r="D3" s="5"/>
      <c r="E3" s="5" t="s">
        <v>14</v>
      </c>
    </row>
    <row r="4" spans="1:7">
      <c r="A4" s="5"/>
      <c r="B4" s="5" t="s">
        <v>16</v>
      </c>
      <c r="C4" s="5" t="s">
        <v>17</v>
      </c>
      <c r="D4" s="5"/>
      <c r="E4" s="5" t="s">
        <v>16</v>
      </c>
    </row>
    <row r="5" spans="1:7">
      <c r="A5" s="5"/>
      <c r="B5" s="5" t="s">
        <v>18</v>
      </c>
      <c r="C5" s="5" t="s">
        <v>19</v>
      </c>
      <c r="D5" s="5"/>
      <c r="E5" s="5" t="s">
        <v>18</v>
      </c>
    </row>
    <row r="6" spans="1:7">
      <c r="A6" s="5"/>
      <c r="B6" s="5" t="s">
        <v>20</v>
      </c>
      <c r="C6" s="5" t="s">
        <v>21</v>
      </c>
      <c r="D6" s="5"/>
      <c r="E6" s="5" t="s">
        <v>20</v>
      </c>
    </row>
    <row r="7" spans="1:7">
      <c r="A7" s="5"/>
      <c r="B7" s="5" t="s">
        <v>22</v>
      </c>
      <c r="C7" s="5" t="s">
        <v>23</v>
      </c>
      <c r="D7" s="5"/>
      <c r="E7" s="5" t="s">
        <v>22</v>
      </c>
    </row>
    <row r="8" spans="1:7">
      <c r="A8" s="5" t="s">
        <v>24</v>
      </c>
      <c r="B8" s="5" t="s">
        <v>25</v>
      </c>
      <c r="C8" s="6" t="s">
        <v>26</v>
      </c>
      <c r="D8" s="5" t="s">
        <v>24</v>
      </c>
      <c r="E8" s="5" t="s">
        <v>25</v>
      </c>
      <c r="F8" s="2" t="s">
        <v>27</v>
      </c>
      <c r="G8" s="2" t="s">
        <v>10</v>
      </c>
    </row>
    <row r="9" spans="1:7">
      <c r="A9" s="7" t="s">
        <v>28</v>
      </c>
      <c r="B9" s="5" t="s">
        <v>29</v>
      </c>
      <c r="C9" s="5" t="s">
        <v>30</v>
      </c>
      <c r="D9" s="7" t="s">
        <v>28</v>
      </c>
      <c r="E9" s="5" t="s">
        <v>29</v>
      </c>
      <c r="F9" s="2" t="s">
        <v>31</v>
      </c>
      <c r="G9" s="2" t="s">
        <v>32</v>
      </c>
    </row>
    <row r="10" spans="1:7">
      <c r="A10" s="7" t="s">
        <v>33</v>
      </c>
      <c r="B10" s="5" t="s">
        <v>34</v>
      </c>
      <c r="C10" s="5" t="s">
        <v>35</v>
      </c>
      <c r="D10" s="7" t="s">
        <v>33</v>
      </c>
      <c r="E10" s="5" t="s">
        <v>34</v>
      </c>
      <c r="F10" s="2" t="s">
        <v>36</v>
      </c>
      <c r="G10" s="2" t="s">
        <v>32</v>
      </c>
    </row>
    <row r="11" spans="1:7">
      <c r="A11" s="7" t="s">
        <v>37</v>
      </c>
      <c r="B11" s="5" t="s">
        <v>38</v>
      </c>
      <c r="C11" s="5" t="s">
        <v>39</v>
      </c>
      <c r="D11" s="7" t="s">
        <v>37</v>
      </c>
      <c r="E11" s="5" t="s">
        <v>38</v>
      </c>
      <c r="F11" s="2" t="s">
        <v>40</v>
      </c>
      <c r="G11" s="2" t="s">
        <v>32</v>
      </c>
    </row>
    <row r="12" spans="1:7">
      <c r="A12" s="7" t="s">
        <v>41</v>
      </c>
      <c r="B12" s="5" t="s">
        <v>42</v>
      </c>
      <c r="C12" s="5" t="s">
        <v>43</v>
      </c>
      <c r="D12" s="7" t="s">
        <v>41</v>
      </c>
      <c r="E12" s="5" t="s">
        <v>42</v>
      </c>
      <c r="F12" s="2" t="s">
        <v>44</v>
      </c>
      <c r="G12" s="2" t="s">
        <v>32</v>
      </c>
    </row>
    <row r="13" spans="1:7">
      <c r="A13" s="5" t="s">
        <v>45</v>
      </c>
      <c r="B13" s="5" t="s">
        <v>46</v>
      </c>
      <c r="C13" s="5" t="s">
        <v>47</v>
      </c>
      <c r="D13" s="7" t="s">
        <v>45</v>
      </c>
      <c r="E13" s="5" t="s">
        <v>46</v>
      </c>
      <c r="F13" s="2" t="s">
        <v>48</v>
      </c>
      <c r="G13" s="2" t="s">
        <v>32</v>
      </c>
    </row>
    <row r="14" spans="1:7">
      <c r="A14" s="5" t="s">
        <v>49</v>
      </c>
      <c r="B14" s="5" t="s">
        <v>50</v>
      </c>
      <c r="C14" s="5" t="s">
        <v>51</v>
      </c>
      <c r="D14" s="7" t="s">
        <v>49</v>
      </c>
      <c r="E14" s="5" t="s">
        <v>50</v>
      </c>
      <c r="F14" s="2" t="s">
        <v>52</v>
      </c>
      <c r="G14" s="2" t="s">
        <v>32</v>
      </c>
    </row>
    <row r="15" spans="1:7">
      <c r="A15" s="5" t="s">
        <v>53</v>
      </c>
      <c r="B15" s="5" t="s">
        <v>54</v>
      </c>
      <c r="C15" s="5" t="s">
        <v>55</v>
      </c>
      <c r="D15" s="5" t="s">
        <v>53</v>
      </c>
      <c r="E15" s="5" t="s">
        <v>54</v>
      </c>
      <c r="F15" s="2" t="s">
        <v>56</v>
      </c>
      <c r="G15" s="2" t="s">
        <v>10</v>
      </c>
    </row>
    <row r="16" spans="1:7">
      <c r="A16" s="5" t="s">
        <v>57</v>
      </c>
      <c r="B16" s="5" t="s">
        <v>58</v>
      </c>
      <c r="C16" s="5" t="s">
        <v>59</v>
      </c>
      <c r="D16" s="5" t="s">
        <v>57</v>
      </c>
      <c r="E16" s="5" t="s">
        <v>58</v>
      </c>
      <c r="F16" s="2" t="s">
        <v>60</v>
      </c>
      <c r="G16" s="2" t="s">
        <v>10</v>
      </c>
    </row>
    <row r="17" spans="1:7">
      <c r="A17" s="5" t="s">
        <v>61</v>
      </c>
      <c r="B17" s="5" t="s">
        <v>62</v>
      </c>
      <c r="C17" s="5" t="s">
        <v>63</v>
      </c>
      <c r="D17" s="5" t="s">
        <v>61</v>
      </c>
      <c r="E17" s="5" t="s">
        <v>62</v>
      </c>
      <c r="F17" s="2" t="s">
        <v>64</v>
      </c>
      <c r="G17" s="2" t="s">
        <v>10</v>
      </c>
    </row>
    <row r="18" spans="1:7">
      <c r="A18" s="5" t="s">
        <v>65</v>
      </c>
      <c r="B18" s="5" t="s">
        <v>66</v>
      </c>
      <c r="C18" s="5" t="s">
        <v>67</v>
      </c>
      <c r="D18" s="5" t="s">
        <v>65</v>
      </c>
      <c r="E18" s="5" t="s">
        <v>66</v>
      </c>
      <c r="F18" s="2" t="s">
        <v>68</v>
      </c>
      <c r="G18" s="2" t="s">
        <v>10</v>
      </c>
    </row>
    <row r="19" spans="1:7">
      <c r="A19" s="5" t="s">
        <v>69</v>
      </c>
      <c r="B19" s="5" t="s">
        <v>70</v>
      </c>
      <c r="C19" s="5" t="s">
        <v>71</v>
      </c>
      <c r="D19" s="5" t="s">
        <v>122</v>
      </c>
      <c r="E19" s="5" t="s">
        <v>70</v>
      </c>
      <c r="F19" s="2" t="s">
        <v>72</v>
      </c>
      <c r="G19" s="2" t="s">
        <v>10</v>
      </c>
    </row>
    <row r="20" spans="1:7">
      <c r="A20" s="5" t="s">
        <v>73</v>
      </c>
      <c r="B20" s="5" t="s">
        <v>74</v>
      </c>
      <c r="C20" s="5" t="s">
        <v>75</v>
      </c>
      <c r="D20" s="5" t="s">
        <v>73</v>
      </c>
      <c r="E20" s="5" t="s">
        <v>74</v>
      </c>
      <c r="F20" s="2" t="s">
        <v>76</v>
      </c>
      <c r="G20" s="2" t="s">
        <v>10</v>
      </c>
    </row>
    <row r="21" spans="1:7">
      <c r="A21" s="5" t="s">
        <v>77</v>
      </c>
      <c r="B21" s="5" t="s">
        <v>78</v>
      </c>
      <c r="C21" s="5" t="s">
        <v>79</v>
      </c>
      <c r="D21" s="5" t="s">
        <v>77</v>
      </c>
      <c r="E21" s="5" t="s">
        <v>78</v>
      </c>
      <c r="F21" s="2" t="s">
        <v>80</v>
      </c>
    </row>
    <row r="22" spans="1:7">
      <c r="A22" s="8" t="s">
        <v>81</v>
      </c>
      <c r="B22" s="8" t="s">
        <v>82</v>
      </c>
      <c r="C22" s="8" t="s">
        <v>83</v>
      </c>
      <c r="D22" s="8" t="s">
        <v>120</v>
      </c>
      <c r="E22" s="8" t="s">
        <v>82</v>
      </c>
      <c r="F22" s="2" t="s">
        <v>84</v>
      </c>
      <c r="G22" s="2" t="s">
        <v>10</v>
      </c>
    </row>
    <row r="23" spans="1:7">
      <c r="A23" s="8" t="s">
        <v>85</v>
      </c>
      <c r="B23" s="8" t="s">
        <v>86</v>
      </c>
      <c r="C23" s="8" t="s">
        <v>87</v>
      </c>
      <c r="D23" s="8" t="s">
        <v>121</v>
      </c>
      <c r="E23" s="8" t="s">
        <v>86</v>
      </c>
      <c r="F23" s="2" t="s">
        <v>88</v>
      </c>
      <c r="G23" s="2" t="s">
        <v>10</v>
      </c>
    </row>
    <row r="24" spans="1:7">
      <c r="A24" s="5" t="s">
        <v>89</v>
      </c>
      <c r="B24" s="5" t="s">
        <v>90</v>
      </c>
      <c r="C24" s="5" t="s">
        <v>91</v>
      </c>
      <c r="D24" s="5" t="s">
        <v>89</v>
      </c>
      <c r="E24" s="5" t="s">
        <v>90</v>
      </c>
      <c r="F24" s="2" t="s">
        <v>92</v>
      </c>
    </row>
    <row r="25" spans="1:7">
      <c r="A25" s="5" t="s">
        <v>93</v>
      </c>
      <c r="B25" s="5" t="s">
        <v>94</v>
      </c>
      <c r="C25" s="5" t="s">
        <v>95</v>
      </c>
      <c r="D25" s="5" t="s">
        <v>93</v>
      </c>
      <c r="E25" s="5" t="s">
        <v>94</v>
      </c>
      <c r="F25" s="2" t="s">
        <v>96</v>
      </c>
    </row>
    <row r="26" spans="1:7">
      <c r="A26" s="5" t="s">
        <v>97</v>
      </c>
      <c r="B26" s="5" t="s">
        <v>98</v>
      </c>
      <c r="C26" s="5" t="s">
        <v>99</v>
      </c>
      <c r="D26" s="5" t="s">
        <v>97</v>
      </c>
      <c r="E26" s="5" t="s">
        <v>98</v>
      </c>
      <c r="F26" s="2" t="s">
        <v>100</v>
      </c>
    </row>
    <row r="27" spans="1:7">
      <c r="A27" s="5" t="s">
        <v>93</v>
      </c>
      <c r="B27" s="5" t="s">
        <v>101</v>
      </c>
      <c r="C27" s="5" t="s">
        <v>102</v>
      </c>
      <c r="D27" s="5" t="s">
        <v>93</v>
      </c>
      <c r="E27" s="5" t="s">
        <v>101</v>
      </c>
      <c r="F27" s="2" t="s">
        <v>103</v>
      </c>
    </row>
    <row r="28" spans="1:7">
      <c r="A28" s="5" t="s">
        <v>93</v>
      </c>
      <c r="B28" s="5" t="s">
        <v>104</v>
      </c>
      <c r="C28" s="5" t="s">
        <v>105</v>
      </c>
      <c r="D28" s="5" t="s">
        <v>93</v>
      </c>
      <c r="E28" s="5" t="s">
        <v>104</v>
      </c>
      <c r="F28" s="2" t="s">
        <v>106</v>
      </c>
    </row>
    <row r="29" spans="1:7" ht="30">
      <c r="A29" s="5" t="s">
        <v>107</v>
      </c>
      <c r="B29" s="5" t="s">
        <v>108</v>
      </c>
      <c r="C29" s="6" t="s">
        <v>109</v>
      </c>
      <c r="D29" s="5" t="s">
        <v>107</v>
      </c>
      <c r="E29" s="5" t="s">
        <v>108</v>
      </c>
      <c r="F29" s="9" t="s">
        <v>110</v>
      </c>
      <c r="G29" s="2" t="s">
        <v>10</v>
      </c>
    </row>
    <row r="30" spans="1:7" ht="30">
      <c r="A30" s="5" t="s">
        <v>111</v>
      </c>
      <c r="B30" s="5" t="s">
        <v>112</v>
      </c>
      <c r="C30" s="6" t="s">
        <v>113</v>
      </c>
      <c r="D30" s="5" t="s">
        <v>111</v>
      </c>
      <c r="E30" s="5" t="s">
        <v>112</v>
      </c>
      <c r="F30" s="9" t="s">
        <v>114</v>
      </c>
      <c r="G30" s="2" t="s">
        <v>10</v>
      </c>
    </row>
    <row r="31" spans="1:7" ht="15.75">
      <c r="D31" s="7" t="s">
        <v>3</v>
      </c>
      <c r="E31" s="10" t="s">
        <v>115</v>
      </c>
      <c r="F31" s="10" t="s">
        <v>116</v>
      </c>
      <c r="G31" s="10" t="s">
        <v>117</v>
      </c>
    </row>
    <row r="32" spans="1:7" ht="15.75">
      <c r="D32" s="11" t="s">
        <v>2</v>
      </c>
      <c r="E32" s="10">
        <v>1121026</v>
      </c>
      <c r="F32" s="13" t="s">
        <v>118</v>
      </c>
      <c r="G32" s="12" t="s">
        <v>10</v>
      </c>
    </row>
    <row r="33" spans="4:7" ht="15.75">
      <c r="D33" s="2" t="s">
        <v>4</v>
      </c>
      <c r="E33" s="10" t="s">
        <v>119</v>
      </c>
      <c r="F33" s="13">
        <v>208524607</v>
      </c>
      <c r="G33" s="10" t="s">
        <v>117</v>
      </c>
    </row>
    <row r="34" spans="4:7">
      <c r="D34" s="2" t="s">
        <v>123</v>
      </c>
      <c r="E34" s="2">
        <v>1121029</v>
      </c>
    </row>
    <row r="35" spans="4:7">
      <c r="D35" s="2" t="s">
        <v>124</v>
      </c>
      <c r="E35" s="2">
        <v>1121030</v>
      </c>
    </row>
    <row r="36" spans="4:7">
      <c r="D36" s="2" t="s">
        <v>125</v>
      </c>
      <c r="E36" s="2">
        <v>1121028</v>
      </c>
    </row>
    <row r="37" spans="4:7" ht="15.75">
      <c r="D37" s="2" t="s">
        <v>128</v>
      </c>
      <c r="E37" s="2">
        <v>1121031</v>
      </c>
      <c r="F37" s="13">
        <v>740849999</v>
      </c>
      <c r="G37" s="10" t="s">
        <v>117</v>
      </c>
    </row>
  </sheetData>
  <autoFilter ref="A2:G2" xr:uid="{00000000-0009-0000-0000-00000400000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Guideline</vt:lpstr>
      <vt:lpstr>Note</vt:lpstr>
      <vt:lpstr>Saoke</vt:lpstr>
      <vt:lpstr>DQ</vt:lpstr>
      <vt:lpstr>NH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 Duong Tran</dc:creator>
  <cp:lastModifiedBy>Kim An</cp:lastModifiedBy>
  <cp:lastPrinted>2021-06-10T01:26:46Z</cp:lastPrinted>
  <dcterms:created xsi:type="dcterms:W3CDTF">2015-06-05T18:17:20Z</dcterms:created>
  <dcterms:modified xsi:type="dcterms:W3CDTF">2022-03-08T09:59:42Z</dcterms:modified>
</cp:coreProperties>
</file>